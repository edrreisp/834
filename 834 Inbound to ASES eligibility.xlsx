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3alexandria1\IT_USERS$\maleman\My Documents\Proyectos\Julio\CurrentProjects\270_271_834\"/>
    </mc:Choice>
  </mc:AlternateContent>
  <xr:revisionPtr revIDLastSave="0" documentId="13_ncr:1_{BB61A821-D43A-4DDF-9874-FAC8DFFA2FCD}" xr6:coauthVersionLast="47" xr6:coauthVersionMax="47" xr10:uidLastSave="{00000000-0000-0000-0000-000000000000}"/>
  <bookViews>
    <workbookView xWindow="-120" yWindow="-120" windowWidth="29040" windowHeight="15840" tabRatio="877" xr2:uid="{00000000-000D-0000-FFFF-FFFF00000000}"/>
  </bookViews>
  <sheets>
    <sheet name="Enrollment Export (EXP)" sheetId="1" r:id="rId1"/>
    <sheet name="834 Maintenance Reason codes" sheetId="18" r:id="rId2"/>
    <sheet name="834 Region" sheetId="17" r:id="rId3"/>
    <sheet name="Disenrollment Reason Codes" sheetId="6" r:id="rId4"/>
  </sheets>
  <definedNames>
    <definedName name="_xlnm._FilterDatabase" localSheetId="0" hidden="1">'Enrollment Export (EXP)'!$A$1:$X$228</definedName>
    <definedName name="Z_A9543FCA_2F84_40E2_95DC_B774F7B96D4A_.wvu.FilterData" localSheetId="0" hidden="1">'Enrollment Export (EXP)'!$A$1:$F$228</definedName>
    <definedName name="Z_CC0FF22F_AAA6_49D1_A4D1_5F075A1352A7_.wvu.FilterData" localSheetId="0" hidden="1">'Enrollment Export (EXP)'!$A$1:$F$228</definedName>
  </definedNames>
  <calcPr calcId="191029"/>
  <customWorkbookViews>
    <customWorkbookView name="Filter 1" guid="{CC0FF22F-AAA6-49D1-A4D1-5F075A1352A7}" maximized="1" windowWidth="0" windowHeight="0" activeSheetId="0"/>
    <customWorkbookView name="Filter 2" guid="{A9543FCA-2F84-40E2-95DC-B774F7B96D4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gjZtdir2xXrWtIijTrz292bGuXDw=="/>
    </ext>
  </extLst>
</workbook>
</file>

<file path=xl/calcChain.xml><?xml version="1.0" encoding="utf-8"?>
<calcChain xmlns="http://schemas.openxmlformats.org/spreadsheetml/2006/main">
  <c r="D218" i="1" l="1"/>
  <c r="D219" i="1" s="1"/>
  <c r="D220" i="1" s="1"/>
  <c r="D221" i="1" s="1"/>
  <c r="D222" i="1" s="1"/>
  <c r="D223" i="1" s="1"/>
  <c r="D224" i="1" s="1"/>
  <c r="D225" i="1" s="1"/>
  <c r="D226" i="1" s="1"/>
  <c r="D227" i="1" s="1"/>
  <c r="D228" i="1" s="1"/>
  <c r="D165" i="1"/>
  <c r="D166" i="1" s="1"/>
  <c r="D167" i="1" s="1"/>
  <c r="D168" i="1" s="1"/>
  <c r="D169" i="1" s="1"/>
  <c r="D170" i="1" s="1"/>
  <c r="D171" i="1" s="1"/>
  <c r="D172" i="1" s="1"/>
  <c r="D173" i="1" s="1"/>
  <c r="D174" i="1" s="1"/>
  <c r="D175" i="1" s="1"/>
  <c r="D176" i="1" s="1"/>
  <c r="D177" i="1" s="1"/>
  <c r="D178" i="1" s="1"/>
  <c r="D179" i="1" s="1"/>
  <c r="B161" i="1"/>
  <c r="B162" i="1" s="1"/>
  <c r="B163" i="1" s="1"/>
  <c r="B164" i="1" s="1"/>
  <c r="B165" i="1" s="1"/>
  <c r="B166" i="1" s="1"/>
  <c r="B167" i="1" s="1"/>
  <c r="B168" i="1" s="1"/>
  <c r="B169" i="1" s="1"/>
  <c r="B170" i="1" s="1"/>
  <c r="B171" i="1" s="1"/>
  <c r="B172" i="1" s="1"/>
  <c r="B173" i="1" s="1"/>
  <c r="B174" i="1" s="1"/>
  <c r="B175" i="1" s="1"/>
  <c r="B176" i="1" s="1"/>
  <c r="B177" i="1" s="1"/>
  <c r="B178" i="1" s="1"/>
  <c r="B179" i="1" s="1"/>
  <c r="D116" i="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tc={E4110AB1-036B-44A8-BF67-4879BBA1055A}</author>
    <author>tc={B144A9B8-07A4-4EFA-A372-1E704FA3631C}</author>
    <author>tc={358FF77A-F7AF-48E5-82B7-943A30EF393A}</author>
    <author>tc={DFDE42A7-5C42-44D1-9A94-8002F654290A}</author>
    <author>tc={94B75EDA-4662-47F7-8B88-8A9709A6B7C8}</author>
    <author>tc={4936766A-896C-472C-8AEA-AE85A2E6A9B5}</author>
    <author>tc={9A18C8DE-0DAB-459D-BCA1-F02558C42C57}</author>
    <author>tc={D9BB73B9-B421-4E32-B486-9675016FE16C}</author>
    <author>tc={CC84EFF8-EF84-4FA5-B5DB-4EEB7CAAB5EF}</author>
    <author>tc={2E6DDAB5-94B3-4DB5-872B-D794736941CC}</author>
    <author>tc={7B00AD11-CEF9-424C-B399-C1EBCC391D6E}</author>
    <author>tc={C9F8C087-00DA-416D-B78E-94948D366044}</author>
    <author>tc={DE0C05E5-302B-442D-83CF-508564712D07}</author>
    <author>tc={6E18DDD0-32FF-44C1-9AED-BCB2CED465CA}</author>
    <author>tc={1AF85B38-8A8C-4C35-8EA2-7172B24EFE53}</author>
    <author>tc={6D4E4C48-585A-4893-B45F-E99908CF956C}</author>
    <author>tc={9676BDD6-C500-4EC8-8663-78C090C0967F}</author>
    <author>tc={8C79B495-2348-4FEA-92E7-7B58B2E9D112}</author>
    <author>tc={07BC25F5-DA88-4B53-98B5-BBF9B3438C3F}</author>
  </authors>
  <commentList>
    <comment ref="H15" authorId="0" shapeId="0" xr:uid="{E4110AB1-036B-44A8-BF67-4879BBA1055A}">
      <text>
        <t>[Threaded comment]
Your version of Excel allows you to read this threaded comment; however, any edits to it will get removed if the file is opened in a newer version of Excel. Learn more: https://go.microsoft.com/fwlink/?linkid=870924
Comment:
    No entiendo este maping</t>
      </text>
    </comment>
    <comment ref="H48" authorId="1" shapeId="0" xr:uid="{B144A9B8-07A4-4EFA-A372-1E704FA3631C}">
      <text>
        <t>[Threaded comment]
Your version of Excel allows you to read this threaded comment; however, any edits to it will get removed if the file is opened in a newer version of Excel. Learn more: https://go.microsoft.com/fwlink/?linkid=870924
Comment:
    No existe este codigo en ese segmento</t>
      </text>
    </comment>
    <comment ref="G54" authorId="2" shapeId="0" xr:uid="{358FF77A-F7AF-48E5-82B7-943A30EF393A}">
      <text>
        <t>[Threaded comment]
Your version of Excel allows you to read this threaded comment; however, any edits to it will get removed if the file is opened in a newer version of Excel. Learn more: https://go.microsoft.com/fwlink/?linkid=870924
Comment:
    No existe el codigo 4</t>
      </text>
    </comment>
    <comment ref="H57" authorId="3" shapeId="0" xr:uid="{DFDE42A7-5C42-44D1-9A94-8002F654290A}">
      <text>
        <t>[Threaded comment]
Your version of Excel allows you to read this threaded comment; however, any edits to it will get removed if the file is opened in a newer version of Excel. Learn more: https://go.microsoft.com/fwlink/?linkid=870924
Comment:
    No se si este sea el numero de poliza???</t>
      </text>
    </comment>
    <comment ref="H66" authorId="4" shapeId="0" xr:uid="{94B75EDA-4662-47F7-8B88-8A9709A6B7C8}">
      <text>
        <t>[Threaded comment]
Your version of Excel allows you to read this threaded comment; however, any edits to it will get removed if the file is opened in a newer version of Excel. Learn more: https://go.microsoft.com/fwlink/?linkid=870924
Comment:
    LOOP 2000 REF with code 3H</t>
      </text>
    </comment>
    <comment ref="F97" authorId="5" shapeId="0" xr:uid="{4936766A-896C-472C-8AEA-AE85A2E6A9B5}">
      <text>
        <t>[Threaded comment]
Your version of Excel allows you to read this threaded comment; however, any edits to it will get removed if the file is opened in a newer version of Excel. Learn more: https://go.microsoft.com/fwlink/?linkid=870924
Comment:
    No llega en la 834, y en el EXP siempre esta</t>
      </text>
    </comment>
    <comment ref="F106" authorId="6" shapeId="0" xr:uid="{9A18C8DE-0DAB-459D-BCA1-F02558C42C57}">
      <text>
        <t>[Threaded comment]
Your version of Excel allows you to read this threaded comment; however, any edits to it will get removed if the file is opened in a newer version of Excel. Learn more: https://go.microsoft.com/fwlink/?linkid=870924
Comment:
    No llega en la 834, puse default blank</t>
      </text>
    </comment>
    <comment ref="G108" authorId="7" shapeId="0" xr:uid="{D9BB73B9-B421-4E32-B486-9675016FE16C}">
      <text>
        <t>[Threaded comment]
Your version of Excel allows you to read this threaded comment; however, any edits to it will get removed if the file is opened in a newer version of Excel. Learn more: https://go.microsoft.com/fwlink/?linkid=870924
Comment:
    No llega en la 834</t>
      </text>
    </comment>
    <comment ref="H112" authorId="8" shapeId="0" xr:uid="{CC84EFF8-EF84-4FA5-B5DB-4EEB7CAAB5EF}">
      <text>
        <t>[Threaded comment]
Your version of Excel allows you to read this threaded comment; however, any edits to it will get removed if the file is opened in a newer version of Excel. Learn more: https://go.microsoft.com/fwlink/?linkid=870924
Comment:
    Le pongo como default Y siempre?</t>
      </text>
    </comment>
    <comment ref="G120" authorId="9" shapeId="0" xr:uid="{2E6DDAB5-94B3-4DB5-872B-D794736941CC}">
      <text>
        <t>[Threaded comment]
Your version of Excel allows you to read this threaded comment; however, any edits to it will get removed if the file is opened in a newer version of Excel. Learn more: https://go.microsoft.com/fwlink/?linkid=870924
Comment:
    Necesita tabla de traduccion</t>
      </text>
    </comment>
    <comment ref="G124" authorId="10" shapeId="0" xr:uid="{7B00AD11-CEF9-424C-B399-C1EBCC391D6E}">
      <text>
        <t>[Threaded comment]
Your version of Excel allows you to read this threaded comment; however, any edits to it will get removed if the file is opened in a newer version of Excel. Learn more: https://go.microsoft.com/fwlink/?linkid=870924
Comment:
    Se mapeo el REF02 OF con dos 0 al frente</t>
      </text>
    </comment>
    <comment ref="H126" authorId="11" shapeId="0" xr:uid="{C9F8C087-00DA-416D-B78E-94948D366044}">
      <text>
        <t>[Threaded comment]
Your version of Excel allows you to read this threaded comment; however, any edits to it will get removed if the file is opened in a newer version of Excel. Learn more: https://go.microsoft.com/fwlink/?linkid=870924
Comment:
    No existe el cdigo 38 en ese segmento</t>
      </text>
    </comment>
    <comment ref="H135" authorId="12" shapeId="0" xr:uid="{DE0C05E5-302B-442D-83CF-508564712D07}">
      <text>
        <t>[Threaded comment]
Your version of Excel allows you to read this threaded comment; however, any edits to it will get removed if the file is opened in a newer version of Excel. Learn more: https://go.microsoft.com/fwlink/?linkid=870924
Comment:
    Como se que es nuevo?</t>
      </text>
    </comment>
    <comment ref="G143" authorId="13" shapeId="0" xr:uid="{6E18DDD0-32FF-44C1-9AED-BCB2CED465CA}">
      <text>
        <t>[Threaded comment]
Your version of Excel allows you to read this threaded comment; however, any edits to it will get removed if the file is opened in a newer version of Excel. Learn more: https://go.microsoft.com/fwlink/?linkid=870924
Comment:
    No lo entiendo</t>
      </text>
    </comment>
    <comment ref="H145" authorId="14" shapeId="0" xr:uid="{1AF85B38-8A8C-4C35-8EA2-7172B24EFE53}">
      <text>
        <t>[Threaded comment]
Your version of Excel allows you to read this threaded comment; however, any edits to it will get removed if the file is opened in a newer version of Excel. Learn more: https://go.microsoft.com/fwlink/?linkid=870924
Comment:
    Necesita traduccion</t>
      </text>
    </comment>
    <comment ref="G147" authorId="15" shapeId="0" xr:uid="{6D4E4C48-585A-4893-B45F-E99908CF956C}">
      <text>
        <t>[Threaded comment]
Your version of Excel allows you to read this threaded comment; however, any edits to it will get removed if the file is opened in a newer version of Excel. Learn more: https://go.microsoft.com/fwlink/?linkid=870924
Comment:
    El valor en la 834 es de 9 char, se debe de traducir al codigo de 2 char</t>
      </text>
    </comment>
    <comment ref="H148" authorId="16" shapeId="0" xr:uid="{9676BDD6-C500-4EC8-8663-78C090C0967F}">
      <text>
        <t>[Threaded comment]
Your version of Excel allows you to read this threaded comment; however, any edits to it will get removed if the file is opened in a newer version of Excel. Learn more: https://go.microsoft.com/fwlink/?linkid=870924
Comment:
    cual es la fecha para el new carrier?</t>
      </text>
    </comment>
    <comment ref="G177" authorId="17" shapeId="0" xr:uid="{8C79B495-2348-4FEA-92E7-7B58B2E9D112}">
      <text>
        <t>[Threaded comment]
Your version of Excel allows you to read this threaded comment; however, any edits to it will get removed if the file is opened in a newer version of Excel. Learn more: https://go.microsoft.com/fwlink/?linkid=870924
Comment:
    Pq de aqui y no del 2100 A</t>
      </text>
    </comment>
    <comment ref="H213" authorId="18" shapeId="0" xr:uid="{07BC25F5-DA88-4B53-98B5-BBF9B3438C3F}">
      <text>
        <t>[Threaded comment]
Your version of Excel allows you to read this threaded comment; however, any edits to it will get removed if the file is opened in a newer version of Excel. Learn more: https://go.microsoft.com/fwlink/?linkid=870924
Comment:
    En la x12 llega asi 91^35^48^50^89^90  y por ahora lo  estoy colocando asi en el file.  El layout dice que son dos caracters por codigo de servicio pero puede que llegue 1 caracter</t>
      </text>
    </comment>
  </commentList>
</comments>
</file>

<file path=xl/sharedStrings.xml><?xml version="1.0" encoding="utf-8"?>
<sst xmlns="http://schemas.openxmlformats.org/spreadsheetml/2006/main" count="1008" uniqueCount="459">
  <si>
    <t>Record</t>
  </si>
  <si>
    <t>Field</t>
  </si>
  <si>
    <t>Field Name</t>
  </si>
  <si>
    <t>Pos</t>
  </si>
  <si>
    <t>Size</t>
  </si>
  <si>
    <t>Notes/Comments</t>
  </si>
  <si>
    <t>F</t>
  </si>
  <si>
    <t>Member  (First Segment)</t>
  </si>
  <si>
    <t>Record Type</t>
  </si>
  <si>
    <t>F - Member (First Segment)</t>
  </si>
  <si>
    <t>Transaction Id</t>
  </si>
  <si>
    <t>Transaction type identifier
E - Eligible
I - Ineligible
H - History
1 - Retroactive Period (*)
2 - Retroactive Period (*)
3 - Retroactive Period (*)
(*) The number correspond to the record group, not to the period order</t>
  </si>
  <si>
    <t>Process Date</t>
  </si>
  <si>
    <t xml:space="preserve">ASES Process Date for this transaction
Format: MMDDCCYY
MM - Month
DD - Day
CCYY - Century and Year </t>
  </si>
  <si>
    <t>Social Security Number</t>
  </si>
  <si>
    <t>Social Security Number of the insured member</t>
  </si>
  <si>
    <t>FILLER</t>
  </si>
  <si>
    <t xml:space="preserve">filled with '00' </t>
  </si>
  <si>
    <t>filled with blanks</t>
  </si>
  <si>
    <t>Person Id</t>
  </si>
  <si>
    <t>Member's Person Id
This Identifier is assigned to beneficiaries and related contact and household persons in the Eligibility Determination process.</t>
  </si>
  <si>
    <t>Contact Last Name</t>
  </si>
  <si>
    <t xml:space="preserve">Last Name of the member's contact person </t>
  </si>
  <si>
    <t>Contact Second Last Name</t>
  </si>
  <si>
    <t xml:space="preserve">Second Last Name of the member's contact person </t>
  </si>
  <si>
    <t>Contact First Name</t>
  </si>
  <si>
    <t xml:space="preserve">First Name of the member's contact person </t>
  </si>
  <si>
    <t>Region</t>
  </si>
  <si>
    <t>Region code assigned to the insured member
A - Norte
B - Metro Norte
E - Este
F - Noreste
G - Sureste
J - San Juan
S - Suroeste
Z - Oeste
P - Virtual</t>
  </si>
  <si>
    <t>Municipality</t>
  </si>
  <si>
    <t>Municipality Code
Format: Zero fill, right justify.</t>
  </si>
  <si>
    <t>Facility</t>
  </si>
  <si>
    <t>Facility Code
Zero fill, right justify.</t>
  </si>
  <si>
    <t>Eligibility Effective Date</t>
  </si>
  <si>
    <t>Effective start date of the eligibility period</t>
  </si>
  <si>
    <t>Expiration Date</t>
  </si>
  <si>
    <t xml:space="preserve">Re-certification cutoff date for the member's eligibility period.
Changes to Re Certification Date are submitted in the "Cancellation / Extension Date" </t>
  </si>
  <si>
    <t>Mailing Address 1</t>
  </si>
  <si>
    <t>Address line of the current mailing address of the insured member</t>
  </si>
  <si>
    <t>Mailing Address 2</t>
  </si>
  <si>
    <t>Second address line of the current mailing address of the insured member</t>
  </si>
  <si>
    <t>Mailing City</t>
  </si>
  <si>
    <t>City name of the member's mailing address</t>
  </si>
  <si>
    <t>Mailing ZIP</t>
  </si>
  <si>
    <t>First 5 digits of the zip code of the member's mailing address
Format: Zero fill, right justify.</t>
  </si>
  <si>
    <t>Mailing ZIP4</t>
  </si>
  <si>
    <t>Last 4 digits of the zip code of the member's mailing address
Format: Zero fill, right justify.</t>
  </si>
  <si>
    <t>Residence Address 1</t>
  </si>
  <si>
    <t>Address line of the current residential address of the insured member</t>
  </si>
  <si>
    <t>Residence Address 2</t>
  </si>
  <si>
    <t>Second Address line of the current residential address of the insured member</t>
  </si>
  <si>
    <t>Residence City</t>
  </si>
  <si>
    <t>City name of the member's residential address</t>
  </si>
  <si>
    <t>Residence Zip</t>
  </si>
  <si>
    <t>First 5 digits of the Zip code of the member's residential address
Format: Zero fill, right justify.</t>
  </si>
  <si>
    <t>Residence Zip4</t>
  </si>
  <si>
    <t>Last 4 digits of the Zip code of the member's residential address
Format: Zero fill, right justify.</t>
  </si>
  <si>
    <t>Communication Number</t>
  </si>
  <si>
    <t>Member's communication number.
Filled with a qualified phone number including the area code</t>
  </si>
  <si>
    <t>Eligible Members</t>
  </si>
  <si>
    <t>Count of eligible members in the household of the insured member</t>
  </si>
  <si>
    <t>Cancellation or Termination Code</t>
  </si>
  <si>
    <t>Eligibility determination reason code for member's cancellation or termination
06 - Change in Family Composition
07 - Income Changes
08 - Death of the enrollee 
09 - Moving Out of State
10 - Incarceration of the enrollee 
13 - Enrollee  Found Not Eligible
30 - Other Reasons
31 - Voluntary Closing 
Filled with blanks when member has not received a cancellation or termination</t>
  </si>
  <si>
    <t>Carrier Code</t>
  </si>
  <si>
    <t>Code of insurance carrier asigned to the member.</t>
  </si>
  <si>
    <t>Carrier Effective Date</t>
  </si>
  <si>
    <t xml:space="preserve">Effective Start Date for the member's  coverage period in the assigned Insurance Carrier 
Format: MMDDCCYY
MM - Month
DD - Day
CCYY - Century and Year </t>
  </si>
  <si>
    <t>Carrier End Date</t>
  </si>
  <si>
    <t xml:space="preserve">Effective End Date for the member's  coverage period in the assigned Insurance Carrier
Only for Transation Id = (H)istory or when thre is a carrier change in the future to a different carrier, otherwise filled with blanks 
Format: MMDDCCYY
MM - Month
DD - Day
CCYY - Century and Year </t>
  </si>
  <si>
    <t>Filled with blanks</t>
  </si>
  <si>
    <t>PMG Federal Tax Id</t>
  </si>
  <si>
    <t>Federal Tax Id for the member's Primary Medical Group (PMG)</t>
  </si>
  <si>
    <t>New Carrier</t>
  </si>
  <si>
    <t>New carrier code</t>
  </si>
  <si>
    <t>New PMG Federal Tax Id</t>
  </si>
  <si>
    <t>Federal Tax Id for the PMG assigned to the insured member</t>
  </si>
  <si>
    <t>New PMG Effective Date</t>
  </si>
  <si>
    <t>Effective start date for the new PMG assigned to the insured member
Format: MMDDCCYY
MM - Month
DD - Day
CCYY - Century and Year</t>
  </si>
  <si>
    <t>Policy Number</t>
  </si>
  <si>
    <t>Member's  Policy Number (also known as Contract Number) assigned by the Insurance Carrier
MCO contract number</t>
  </si>
  <si>
    <t>New Carrier Effective Date</t>
  </si>
  <si>
    <t>Effective date for the carrier assigned to the member
Format: MMDDCCYY
MM - Month
DD - Day
CCYY - Century and Year</t>
  </si>
  <si>
    <t>PMG Effective Date</t>
  </si>
  <si>
    <t>Effective date for the PMG assigned to the insured member
Format: MMDDCCYY
MM - Month
DD - Day
CCYY - Century and Year</t>
  </si>
  <si>
    <t>Certification Date</t>
  </si>
  <si>
    <t>Member's certification date for the eligibility period
Format: MMDDCCYY
MM - Month
DD - Day
CCYY - Century and Year</t>
  </si>
  <si>
    <t>PCP Change Reason</t>
  </si>
  <si>
    <t>Code of member's reason for changing PCP</t>
  </si>
  <si>
    <t>Case Number</t>
  </si>
  <si>
    <t>Extension or Cancellation Date</t>
  </si>
  <si>
    <t>This field is used depending on the member's eligibility status in Record M, Field 38 (Eligibility Indicator) 
(1) Extension Date
When the record Transation Id not valued 'I'  this is the member's Extension date for the cutoff Recertification Date
(2) Cancellation Date
When the record Transation Id is valued 'I' this is the member's Termination or Cancellation date
Format: MMDDCCYY
MM - Month
DD - Day
CCYY - Century and Year</t>
  </si>
  <si>
    <t>Gender</t>
  </si>
  <si>
    <t>Gender identity of the insured member
1 - Male
2 - Female
3 - Unnkown</t>
  </si>
  <si>
    <t>New Id Card Issue Date</t>
  </si>
  <si>
    <t xml:space="preserve">For future enrollment period, filled with the member's new Identification Card Issue Date.
This field is filled with blanks when the insurance carrier has to submit an enrollment effectuation due to the addition of a subscriber or a change in the coverage code.
Format: MMDDCCYY </t>
  </si>
  <si>
    <t>Member Start Date</t>
  </si>
  <si>
    <t xml:space="preserve">Member's start date for the current period of continuous enrollment  in current insurance carrier.
Format: MMDDCCYY </t>
  </si>
  <si>
    <t>M</t>
  </si>
  <si>
    <t>Member (Second Segment)</t>
  </si>
  <si>
    <t>M - Member Second Segment</t>
  </si>
  <si>
    <t>Transaction type identifier
E - Eligible
I - Ineligible
H - History
1 - Retroactive Period (*)
2 - Retroactive Period (*)
3 - Retroactive Period (*)
(*) Correspond to record group, not to period order</t>
  </si>
  <si>
    <t>Process Date for this transaction
Format: MMDDYYYY</t>
  </si>
  <si>
    <t>Member's social security number</t>
  </si>
  <si>
    <t>Filled with '01'</t>
  </si>
  <si>
    <t>Contact Person Id</t>
  </si>
  <si>
    <t xml:space="preserve">Person Id assigned to the member's contact </t>
  </si>
  <si>
    <t>Last Name</t>
  </si>
  <si>
    <t xml:space="preserve">Member's Last Name </t>
  </si>
  <si>
    <t>Second Last Name</t>
  </si>
  <si>
    <t xml:space="preserve">Member's Second Last Name </t>
  </si>
  <si>
    <t>First Name</t>
  </si>
  <si>
    <t>Member's First Name</t>
  </si>
  <si>
    <t>Middle Initial</t>
  </si>
  <si>
    <t>Member's Middle Initial</t>
  </si>
  <si>
    <t>Filled with '0'</t>
  </si>
  <si>
    <t>Date Of Birth</t>
  </si>
  <si>
    <t>Member's date of birth
Format: MMDDCCYY
MM - Month
DD - Day
CCYY - Century and Year</t>
  </si>
  <si>
    <t>Sex</t>
  </si>
  <si>
    <t>Member's sex at birth
1 - Male
2 - Female
3 - Unknown</t>
  </si>
  <si>
    <t>Social Security Benefits</t>
  </si>
  <si>
    <t xml:space="preserve">Code to identify if the member receives social security benefits
1 - Yes
2 - No
</t>
  </si>
  <si>
    <t>Filled with '00'</t>
  </si>
  <si>
    <t>Marital Status Code</t>
  </si>
  <si>
    <t>Code of the member's marital status
1 - Single
2 - Married
3 - Divorced
4 - Widowed
5 - Other</t>
  </si>
  <si>
    <t>Pregnancy Indicator</t>
  </si>
  <si>
    <t>Member's pregnancy indicator at the moment of the eligibility evaluation 
1 - Member is not pregnant
2 - Member is pregnant</t>
  </si>
  <si>
    <t>MBI</t>
  </si>
  <si>
    <t>Member's current Medicare Beneficiary Identifier
filled with blanks if member does not have Medicare coverage</t>
  </si>
  <si>
    <t>Eligibility Indicator</t>
  </si>
  <si>
    <t>Member's eligibility indicator for this transaction
Y - Yes, Member is Eligible
N - No, Member is not Eligible</t>
  </si>
  <si>
    <t>Cancellation Code</t>
  </si>
  <si>
    <t>Duplicated Field for Record F, Field 45
Filled with value in Record F, Field 45</t>
  </si>
  <si>
    <t>PMG NPI</t>
  </si>
  <si>
    <t>PMG NPI 
Optional for Carrier Platino
Filled with blanks if no PMG on record</t>
  </si>
  <si>
    <t>New PMG NPI</t>
  </si>
  <si>
    <t>New PMG NPI 
Optional for Carrier Platino
Filled with blanks if no PMG on record</t>
  </si>
  <si>
    <t>PMG Medicaid Id</t>
  </si>
  <si>
    <t>This is the PMG’s Medicaid Id associated with the the PMG's Service Location where this member is assigned.
This is the same value used in the PRMMIS Provider Group Links Interface
This is optional for Platino carriers.
Fill with blanks if not required</t>
  </si>
  <si>
    <t>New PMG Medicaid Id</t>
  </si>
  <si>
    <t>This is the New PMG’s Medicaid Id associated with the the PMG's Service Location where this member is assigned.
This is the same value used in the PRMMIS Provider Group Links Interface
This is optional for Platino carriers.
Fill with blanks if not required</t>
  </si>
  <si>
    <t>Government Group</t>
  </si>
  <si>
    <t>Group identifier related to other federal and local government entities associated with the insured member</t>
  </si>
  <si>
    <t>Member's Person Identifier
This Identifier is assigned to beneficiaries and related contact and household persons by the Department of Health</t>
  </si>
  <si>
    <t>MPI</t>
  </si>
  <si>
    <t>Member's master patient index (MPI) number</t>
  </si>
  <si>
    <t>Duplicate Field on Record F Field 59
Filled with value in Record F, Field 59</t>
  </si>
  <si>
    <t>Duplicate Field on Record F Field 55
Filled with value in Record F, Field 55</t>
  </si>
  <si>
    <t>PMG Code</t>
  </si>
  <si>
    <t>Code of PMG assigned to the insured member.
PMG code must be submittd to ASES in Report 12 by the Insurance Carrier in a weekly basis.</t>
  </si>
  <si>
    <t>Effective Start Date of the member's assignment to the PMG
Format: MMDDCCYY</t>
  </si>
  <si>
    <t>New PMG Code</t>
  </si>
  <si>
    <t>Code of the PMG assigned to the insured member
PMG Code must be provided by the Insurance Carrier in a weekly basis in Report 12.</t>
  </si>
  <si>
    <t>Effective Start Date of the PMG assigned to the insured member
Format: MMDDCCYY</t>
  </si>
  <si>
    <t>PCP</t>
  </si>
  <si>
    <t>NPI of the PCP assigned to the insured member
Format: Left filled with blanks, use 10 digit valid NPI number</t>
  </si>
  <si>
    <t>PCP Effective Date</t>
  </si>
  <si>
    <t>Effective start date for the PCP assigned to the insured member
Format: MMDDCCYY</t>
  </si>
  <si>
    <t>Second PCP</t>
  </si>
  <si>
    <t>NPI of the Second PCP assigned to the insured member
Format: Left filled with blanks, use 10 digit valid NPI number</t>
  </si>
  <si>
    <t>Second PCP Effective Date</t>
  </si>
  <si>
    <t>Effective start date for the second PCP assigned to the insured member
Format: MMDDCCYY</t>
  </si>
  <si>
    <t>New PCP</t>
  </si>
  <si>
    <t>NPI of the New PCP assigned to the insured member
Format: Left filled with blanks, use 10 digit valid NPI number</t>
  </si>
  <si>
    <t>New PCP Effective Date</t>
  </si>
  <si>
    <t>Effective start date for the New PCP assigned to the insured member
Format: MMDDCCYY</t>
  </si>
  <si>
    <t>New Second PCP</t>
  </si>
  <si>
    <t>NPI of the New Second PCP assigned to the insured member
Format: Left filled with blanks, use 10 digit valid NPI number</t>
  </si>
  <si>
    <t>New Second PCP Effective Date</t>
  </si>
  <si>
    <t>Effective start date for the New Second PCP assigned to the insured member
Format: MMDDCCYY</t>
  </si>
  <si>
    <t>Id Card Issue Date</t>
  </si>
  <si>
    <t>Member's Identification Card Issue Date
This field is filled with blanks when the insurance carrier has to submit an enrollment effectuation due to the addition of a subscriber or a change in the coverage code.
Format: MMDDCCYY</t>
  </si>
  <si>
    <t>Primary Care Change Reason</t>
  </si>
  <si>
    <t xml:space="preserve">Code use by the carrier for identifying the reason of the member's primary care change  (primary care includes: PMG,PCP, Second PCP)
This is an informative field that may be used for audit purposes.
Fill with blanks if no PMG, PCP or Second PCP changes.
</t>
  </si>
  <si>
    <t>Program</t>
  </si>
  <si>
    <t>Member's Affordability Insurance Program
1 - Medicaid
2 - CHIP
3 - Commonwealth</t>
  </si>
  <si>
    <t>Filler</t>
  </si>
  <si>
    <t>Carrier</t>
  </si>
  <si>
    <t>Duplicate Field on Record F Field 46
Filled with value in Record F, Field 46</t>
  </si>
  <si>
    <t>Duplicate Field on Record F Field 47
Filled with value in Record F, Field 47</t>
  </si>
  <si>
    <t>Code of the insurance new carrier assigned to the member</t>
  </si>
  <si>
    <t>Effective start date of the new carrier assigned to the insured member
Format: MMDDCCYY</t>
  </si>
  <si>
    <t>Plan Type</t>
  </si>
  <si>
    <t>Code of the Plan Type assigned to the insured member
01 - Vital
02 - Platino</t>
  </si>
  <si>
    <t>Plan Type Effective Date</t>
  </si>
  <si>
    <t>Effective start date of the Plan Type assigned to the insured member
Format: MMDDCCYY</t>
  </si>
  <si>
    <t>Plan Version</t>
  </si>
  <si>
    <t>Code of the insurance carrier's product matching member's health coverage entitlement</t>
  </si>
  <si>
    <t>Plan Version Effective Date</t>
  </si>
  <si>
    <t>Effective start date of the Plan Version assigned to the insured member
Format: MMDDCCYY</t>
  </si>
  <si>
    <t>New Plan Type</t>
  </si>
  <si>
    <t>Code of New Plan Type assigned to the insured member
01 - Vital
02 - Platino
bb - Not assigned</t>
  </si>
  <si>
    <t>New Plan Type Effective Date</t>
  </si>
  <si>
    <t>Effective start date of the new Plan Type assigned to the insured member
Format: MMDDCCYY</t>
  </si>
  <si>
    <t>New Plan Version</t>
  </si>
  <si>
    <t>Code of the new insurance product the carrier assigned to the member matching the requested Health Coverage</t>
  </si>
  <si>
    <t>New Plan Version Effective Date</t>
  </si>
  <si>
    <t>Effective start date of the new Plan Version assigned to the insured member
Format: MMDDCCYY</t>
  </si>
  <si>
    <t>Confined Coverage Code</t>
  </si>
  <si>
    <t>Federal Coverage Code for Hospitalization coverage entitlement when the beneficiary has Government Group Code in (03, 04, 97) representing a confined population. 
If not applicable leave blank
This information will be shared if available</t>
  </si>
  <si>
    <t>Coverage Code</t>
  </si>
  <si>
    <t>Code for the member's health coverage entitlement
A beneficairy with Government Group Code in (97) only has a Confined Coverage Code.
If not aplicable leave blank</t>
  </si>
  <si>
    <t>New Policy Number</t>
  </si>
  <si>
    <t>Member's Policy Number (Contract Number) assigned by the Insurance Carrier.</t>
  </si>
  <si>
    <t>Special Enroll</t>
  </si>
  <si>
    <t>T - Retroactive Period
E - Late Eligibility (used in new enrollments when a retro eligibility with more than 3 months is received)
N = Deemed Newborn
Filled with blanks if no special enroll period</t>
  </si>
  <si>
    <t>Cost Sharing Exception Code</t>
  </si>
  <si>
    <t>N - No exception
C - Child
P - Pregnant
A - American Indian
I - Institutionalized
H - Hospice</t>
  </si>
  <si>
    <t>Co-Payment Maximum</t>
  </si>
  <si>
    <t>Maximum co-payment amount for the member's household. 
Format: filled with number, includes two decimal positions.</t>
  </si>
  <si>
    <t>Extension Flag</t>
  </si>
  <si>
    <t>N - No extension
A - Pending Appeal
U - Appeal closed
P - Pregnancy
X - Other extension
H - Natural Disaster</t>
  </si>
  <si>
    <t>Spend Down Indicator</t>
  </si>
  <si>
    <r>
      <rPr>
        <sz val="9"/>
        <color rgb="FF000000"/>
        <rFont val="Arial"/>
        <family val="2"/>
      </rPr>
      <t xml:space="preserve">Fill with blanks
</t>
    </r>
    <r>
      <rPr>
        <sz val="9"/>
        <color rgb="FF1155CC"/>
        <rFont val="Arial"/>
        <family val="2"/>
      </rPr>
      <t>For future use:
N - No spend-down involved
S - Spend-down satisfied 
(If S, required at least one spend-down record on recod group)</t>
    </r>
  </si>
  <si>
    <t>Eligibility Group</t>
  </si>
  <si>
    <t>Member's eligibility Group Code</t>
  </si>
  <si>
    <t>Date of Death</t>
  </si>
  <si>
    <t xml:space="preserve">Member's date of death as reported by the Department of Health
Format: MMDDCCYY  </t>
  </si>
  <si>
    <t>Custom Property 1</t>
  </si>
  <si>
    <t>This field is defined to be used  in response to an emergency or special situation where information exchanged is required and not yet available in any other field
- For current use see reference table "Custom Properties"</t>
  </si>
  <si>
    <t>Custom Property 2</t>
  </si>
  <si>
    <t>Custom Property 3</t>
  </si>
  <si>
    <t>Custom Property 4</t>
  </si>
  <si>
    <t>Language Spoken</t>
  </si>
  <si>
    <t xml:space="preserve">Language Spoken is shared if available </t>
  </si>
  <si>
    <t>Language Written</t>
  </si>
  <si>
    <t xml:space="preserve">Language Written is shared if available </t>
  </si>
  <si>
    <t>Race</t>
  </si>
  <si>
    <t xml:space="preserve">Race is shared if available </t>
  </si>
  <si>
    <t>Ethnicity</t>
  </si>
  <si>
    <t xml:space="preserve">Ethnicity is shared if available </t>
  </si>
  <si>
    <t>O</t>
  </si>
  <si>
    <t>Household</t>
  </si>
  <si>
    <t>O - Household Record</t>
  </si>
  <si>
    <t>ASES Process Date for this transaction
Format: MMDDYYYY</t>
  </si>
  <si>
    <t>Member's Person Id</t>
  </si>
  <si>
    <t>Household Person 1</t>
  </si>
  <si>
    <t>Person Id for member's household person 1</t>
  </si>
  <si>
    <t>Household Person 2</t>
  </si>
  <si>
    <t>Person Id for member's household person 2</t>
  </si>
  <si>
    <t>Household Person 3</t>
  </si>
  <si>
    <t>Person Id for member's household person 3</t>
  </si>
  <si>
    <t>Household Person 4</t>
  </si>
  <si>
    <t>Person Id for member's household person 4</t>
  </si>
  <si>
    <t>Household Person 5</t>
  </si>
  <si>
    <t>Person Id for member's household person 5</t>
  </si>
  <si>
    <t>Household Person 6</t>
  </si>
  <si>
    <t>Person Id for member's household person 6</t>
  </si>
  <si>
    <t>Household Person 7</t>
  </si>
  <si>
    <t>Person Id for member's household person 7</t>
  </si>
  <si>
    <t>Household Person 8</t>
  </si>
  <si>
    <t>Person Id for member's household person 8</t>
  </si>
  <si>
    <t>Household Person 9</t>
  </si>
  <si>
    <t>Person Id for member's household person 9</t>
  </si>
  <si>
    <t>Household Person 10</t>
  </si>
  <si>
    <t>Person Id for member's household person 10</t>
  </si>
  <si>
    <t>Household Person 11</t>
  </si>
  <si>
    <t>Person Id for member's household person 11</t>
  </si>
  <si>
    <t>Household Person 12</t>
  </si>
  <si>
    <t>Person Id for member's household person 12</t>
  </si>
  <si>
    <t>Household Person 13</t>
  </si>
  <si>
    <t>Person Id for member's household person 13</t>
  </si>
  <si>
    <t>Household Person 14</t>
  </si>
  <si>
    <t>Person Id for member's household person 14</t>
  </si>
  <si>
    <t>Household Person 15</t>
  </si>
  <si>
    <t>Person Id for member's household person 15</t>
  </si>
  <si>
    <t>Household Person 16</t>
  </si>
  <si>
    <t>Person Id for member's household person 16</t>
  </si>
  <si>
    <t>Household Person 17</t>
  </si>
  <si>
    <t>Person Id for member's household person 17</t>
  </si>
  <si>
    <t>Household Person 18</t>
  </si>
  <si>
    <t>Person Id for member's household person 18</t>
  </si>
  <si>
    <t>Fill with empty spaces.</t>
  </si>
  <si>
    <t>I</t>
  </si>
  <si>
    <t>Insurance (COB)</t>
  </si>
  <si>
    <t>I - Insurance (COB) Record</t>
  </si>
  <si>
    <t>Proces Date</t>
  </si>
  <si>
    <t xml:space="preserve">filled with '01' </t>
  </si>
  <si>
    <t>Health Insurer Code</t>
  </si>
  <si>
    <t>Code assigned to the Insurance Company by ASES</t>
  </si>
  <si>
    <t>Policy number assigned by the Insurance Company to the member.
If it is Medicare, it will be filled with the MBI number</t>
  </si>
  <si>
    <t>Policy End Date</t>
  </si>
  <si>
    <t xml:space="preserve">
</t>
  </si>
  <si>
    <t>Covered Services</t>
  </si>
  <si>
    <t>20 coverage code fields (2 character each).</t>
  </si>
  <si>
    <t>Policy Effective Date</t>
  </si>
  <si>
    <t>Effective Date for policy (Medicare benefits or private plans)</t>
  </si>
  <si>
    <t>R</t>
  </si>
  <si>
    <t>Rate Cell and Risk Score</t>
  </si>
  <si>
    <t>R - Rate Cell and Risk Score Record</t>
  </si>
  <si>
    <t>Rate Code</t>
  </si>
  <si>
    <r>
      <rPr>
        <sz val="9"/>
        <color theme="1"/>
        <rFont val="Arial"/>
        <family val="2"/>
      </rPr>
      <t xml:space="preserve">Member's adjudicated rate cell code.
</t>
    </r>
    <r>
      <rPr>
        <b/>
        <sz val="9"/>
        <color theme="1"/>
        <rFont val="Arial"/>
        <family val="2"/>
      </rPr>
      <t>Left justified, fill with blanks when rate code is less than 3 characters.</t>
    </r>
  </si>
  <si>
    <t>Risk Score</t>
  </si>
  <si>
    <r>
      <rPr>
        <sz val="9"/>
        <color theme="1"/>
        <rFont val="Arial"/>
        <family val="2"/>
      </rPr>
      <t xml:space="preserve">Member's adjudicated Risk Score Factor used to calculate capitation payments.
This Risk Score is adjusted for Budget Neutrality.
Format uses up to 3 digits NON Decimal and  up to 4 decimal digits, 
</t>
    </r>
    <r>
      <rPr>
        <b/>
        <sz val="9"/>
        <color theme="1"/>
        <rFont val="Arial"/>
        <family val="2"/>
      </rPr>
      <t>Examples:
- 001.0000
- 123.4567
- 001.1200</t>
    </r>
    <r>
      <rPr>
        <sz val="9"/>
        <color theme="1"/>
        <rFont val="Arial"/>
        <family val="2"/>
      </rPr>
      <t xml:space="preserve">
</t>
    </r>
  </si>
  <si>
    <t>Risk Score Indicator</t>
  </si>
  <si>
    <t>Risk Score Indicator
0 = Risk Score is using a Default Value
1 = Risk Score is evaluated by using CDPS+RX Risk adjustment module including budget neutrality.</t>
  </si>
  <si>
    <t>Raw Risk Score</t>
  </si>
  <si>
    <t>Risk Score Factor generated by the CDPS+RX Risk adjustment module
Format uses same format as the Risk Score field
If Risk Score indicator is 0 then this field will be filled with blanks.</t>
  </si>
  <si>
    <t>Effective Date</t>
  </si>
  <si>
    <t>Member's rate cell and risk score effective start 
Format: MMDDCCYY
MM - Month
DD - Day
CCYY - Century and Year</t>
  </si>
  <si>
    <t>End Date</t>
  </si>
  <si>
    <t xml:space="preserve">Member's rate cell and risk score effective end. 
Filled with blanks when effective period ends with the end of the eligibility period
If the member has a carrier change in the future, the rate cell end date will be populated.
Format: MMDDCCYY
MM - Month
DD - Day
CCYY - Century and Year </t>
  </si>
  <si>
    <t>03</t>
  </si>
  <si>
    <t>04</t>
  </si>
  <si>
    <t>05</t>
  </si>
  <si>
    <t>06</t>
  </si>
  <si>
    <t>07</t>
  </si>
  <si>
    <t>08</t>
  </si>
  <si>
    <t>09</t>
  </si>
  <si>
    <t>Reason Code</t>
  </si>
  <si>
    <t>Reason for Disenrollment</t>
  </si>
  <si>
    <t>Effective Date of Disenrollment</t>
  </si>
  <si>
    <t>Death of Enrollee</t>
  </si>
  <si>
    <t>First day of the month after death</t>
  </si>
  <si>
    <t>CMS rejected Medicare Advantage Enrollment (Platino)</t>
  </si>
  <si>
    <t>There are conditions in particular that CMS may reject a subscription submitted by the MAO. In this case, ASES will proceed to disenroll the member and stop premium payments as of the effective date indicated by the reporting MAO.</t>
  </si>
  <si>
    <t>Member enrollment was found to be an error</t>
  </si>
  <si>
    <t>If the subscriber is not the correct person, the date of effectiveness is not correct and other possible errors then ASES will take the following action: If the member was in an MCO, it will be returned to the same MCO.
If the member was subscribed to another MAO, the previous MAO must resubmit the subscription that corresponds to the effective date of the subscription of the MAO is disenrollment from.</t>
  </si>
  <si>
    <t>Platino Enrollee lost Medicare Part A and/or Part B</t>
  </si>
  <si>
    <t>ASES will proceed to disenroll the member and stop premium payments as of the effective date indicated by the reporting MAO and assign an MCO with the round robin method.</t>
  </si>
  <si>
    <t>Member voluntary request terminatino (Platino)</t>
  </si>
  <si>
    <t>ASES will proceed to disenroll the member and stop premium payments as of the effective date indicated by the reporting MAO.</t>
  </si>
  <si>
    <t>Carrier requested termination (following contract prodecures)</t>
  </si>
  <si>
    <t>Incarceration</t>
  </si>
  <si>
    <t>First day of the month after incarceration</t>
  </si>
  <si>
    <t>10</t>
  </si>
  <si>
    <t>Enrollee enters or stated in a residential institution under circumstances which rendered the individual ineligible for enrollment in Medicare Advantage, including when an Enrollee is admitted to the hospital that 1) is certified by Medicare as a long-term care hospital and 2) has a average stay for all patients greater than ninety-five (95) days.</t>
  </si>
  <si>
    <t>First day of the month after following entry or first day of the month following classification of the stay as permanent, subsequent to entry.</t>
  </si>
  <si>
    <t>11</t>
  </si>
  <si>
    <t>Individual enrolled while ineligible for enrollment</t>
  </si>
  <si>
    <t>Effective Date of Enrollment in the Contractor’s Plan.</t>
  </si>
  <si>
    <t>12</t>
  </si>
  <si>
    <t>(PR) – Enrollee moved outside of Puerto Rico</t>
  </si>
  <si>
    <t>First day of the month after the update of the system with the new address.
ASES will proceed to disenroll the member and stop premium payments as of the effective date indicated by the reporting MAO.
PRMP must proceed to cancel the member.</t>
  </si>
  <si>
    <t>13</t>
  </si>
  <si>
    <t>Change to another MAO</t>
  </si>
  <si>
    <t>ASES will proceed to disenroll the member and stop premium payments as of the effective date indicated by the reporting MAO. The new MAO must submit the subscription as soon as possible and by the appropriate effective date.</t>
  </si>
  <si>
    <t>834 Mapping</t>
  </si>
  <si>
    <t>LOOP &amp; REF</t>
  </si>
  <si>
    <t>Comment</t>
  </si>
  <si>
    <t>Default "M"</t>
  </si>
  <si>
    <t>ISA09</t>
  </si>
  <si>
    <t xml:space="preserve"> Interchange Date</t>
  </si>
  <si>
    <t>2100 A NM109</t>
  </si>
  <si>
    <t>When 2100
A
NM108 (Identification Code 
Qualifier) =  34</t>
  </si>
  <si>
    <t xml:space="preserve">Default '00' </t>
  </si>
  <si>
    <t>Default blanks</t>
  </si>
  <si>
    <t>2100 A NM103</t>
  </si>
  <si>
    <t>2100 A NM104</t>
  </si>
  <si>
    <t>2100 A NM105</t>
  </si>
  <si>
    <t>2000 INS12</t>
  </si>
  <si>
    <t>Default "F"</t>
  </si>
  <si>
    <t>2100 G NM109</t>
  </si>
  <si>
    <t xml:space="preserve">First character of 2300 HD04 </t>
  </si>
  <si>
    <t>Plan Coverage  Description</t>
  </si>
  <si>
    <t xml:space="preserve">2750 REF02 </t>
  </si>
  <si>
    <t>If mental health facility</t>
  </si>
  <si>
    <t>2300 DTP01 348</t>
  </si>
  <si>
    <t>When mailing different from home address</t>
  </si>
  <si>
    <t>2100 C N301</t>
  </si>
  <si>
    <t>2100 C N302</t>
  </si>
  <si>
    <t>2100 C N401</t>
  </si>
  <si>
    <t>2100 C N403</t>
  </si>
  <si>
    <t>2100 A N301</t>
  </si>
  <si>
    <t>2100 A N302</t>
  </si>
  <si>
    <t>2100 A N401</t>
  </si>
  <si>
    <t>2100 A N403</t>
  </si>
  <si>
    <t>2100 A PER04</t>
  </si>
  <si>
    <t xml:space="preserve">when 2100
A
PER03 = "TE" </t>
  </si>
  <si>
    <t>when 2000 INS03 = "024"</t>
  </si>
  <si>
    <t>2000 INS04</t>
  </si>
  <si>
    <t>2750 REF02, 4</t>
  </si>
  <si>
    <t>2300 DTP01 349</t>
  </si>
  <si>
    <t>Not Found</t>
  </si>
  <si>
    <t>2310 PLA05</t>
  </si>
  <si>
    <t xml:space="preserve">2100 A DMG03 </t>
  </si>
  <si>
    <t>Gender Code F M U</t>
  </si>
  <si>
    <t xml:space="preserve">Default '01' </t>
  </si>
  <si>
    <t xml:space="preserve">Default '0' </t>
  </si>
  <si>
    <t xml:space="preserve">2100 A DMG02 </t>
  </si>
  <si>
    <t>Member Birth Date</t>
  </si>
  <si>
    <t xml:space="preserve">2100 B DMG04 </t>
  </si>
  <si>
    <t xml:space="preserve"> Reference Identification Qualifier</t>
  </si>
  <si>
    <t>2000 REF01 = "F6"</t>
  </si>
  <si>
    <t>2000 REF02</t>
  </si>
  <si>
    <t>HD04, 5</t>
  </si>
  <si>
    <t xml:space="preserve">2310 PLA03 </t>
  </si>
  <si>
    <t>Default "1"</t>
  </si>
  <si>
    <t>HD04,  2</t>
  </si>
  <si>
    <t>2750 REF02, 2</t>
  </si>
  <si>
    <t>HD04, 2</t>
  </si>
  <si>
    <t>2100 A LUI02</t>
  </si>
  <si>
    <t>when 2100 A LUI01  =  "LE" and 2100 A LUI04 = 6</t>
  </si>
  <si>
    <t>2101 A LUI02</t>
  </si>
  <si>
    <t>when 2100 A LUI01  =  "LE" and 2100 A LUI04 = 7</t>
  </si>
  <si>
    <t>2100 B DMG05 - 1</t>
  </si>
  <si>
    <t xml:space="preserve"> Race Code</t>
  </si>
  <si>
    <t xml:space="preserve">2100 B DMG05 – 3 </t>
  </si>
  <si>
    <t>Ethnicity Code</t>
  </si>
  <si>
    <t>Default "E"</t>
  </si>
  <si>
    <t>Value mapping</t>
  </si>
  <si>
    <t>Region codes are the same in ASES and in the 834, no new mapping needed</t>
  </si>
  <si>
    <t>Maintenance Reson codes are different between 834 and ASES, new mapping is needed</t>
  </si>
  <si>
    <t>834 AND ases gender code are different new mapping is needed</t>
  </si>
  <si>
    <t>834 and ASES gender code are different new mapping is needed</t>
  </si>
  <si>
    <t>Marital Status codes are different, new mapping is needed</t>
  </si>
  <si>
    <t>Default "O"</t>
  </si>
  <si>
    <t>Default "01"</t>
  </si>
  <si>
    <t>2320 DTP01 344</t>
  </si>
  <si>
    <t>2320 COB02</t>
  </si>
  <si>
    <t>2320 COB04</t>
  </si>
  <si>
    <t>2320 DTP01 345</t>
  </si>
  <si>
    <t>Default "R"</t>
  </si>
  <si>
    <t>Plan Coverage Description (HD04), 14</t>
  </si>
  <si>
    <t>Plan Coverage Description (HD04), 13</t>
  </si>
  <si>
    <t>Default "Y"</t>
  </si>
  <si>
    <t>NM1*P3</t>
  </si>
  <si>
    <t>2310 NM109</t>
  </si>
  <si>
    <t>Default "I"</t>
  </si>
  <si>
    <t>2100 A NM108</t>
  </si>
  <si>
    <r>
      <t>NM1*IL*1*NATAL                         |MELENDEZ*TEMPOLA****34*</t>
    </r>
    <r>
      <rPr>
        <sz val="10"/>
        <color rgb="FFFF0000"/>
        <rFont val="Arial"/>
        <family val="2"/>
        <scheme val="minor"/>
      </rPr>
      <t>581603155</t>
    </r>
    <r>
      <rPr>
        <sz val="10"/>
        <color rgb="FF000000"/>
        <rFont val="Arial"/>
        <family val="2"/>
        <scheme val="minor"/>
      </rPr>
      <t>~</t>
    </r>
  </si>
  <si>
    <r>
      <t>ISA*00*          *00*          *ZZ*PRMMIS         *ZZ*690320         *</t>
    </r>
    <r>
      <rPr>
        <sz val="10"/>
        <color rgb="FFFF0000"/>
        <rFont val="Arial"/>
        <family val="2"/>
        <scheme val="minor"/>
      </rPr>
      <t>230724</t>
    </r>
    <r>
      <rPr>
        <sz val="10"/>
        <color rgb="FF000000"/>
        <rFont val="Arial"/>
        <scheme val="minor"/>
      </rPr>
      <t>*0909*^*00501*200000138*0*T*:~</t>
    </r>
  </si>
  <si>
    <t>Example</t>
  </si>
  <si>
    <t>last name #1 &amp; last name #2 with pipe delimiter to separate</t>
  </si>
  <si>
    <r>
      <t>NM1*IL*1*</t>
    </r>
    <r>
      <rPr>
        <sz val="10"/>
        <color rgb="FFFF0000"/>
        <rFont val="Arial"/>
        <family val="2"/>
        <scheme val="minor"/>
      </rPr>
      <t>ROSADO                        |GUEMAREZ</t>
    </r>
    <r>
      <rPr>
        <sz val="10"/>
        <color rgb="FF000000"/>
        <rFont val="Arial"/>
        <scheme val="minor"/>
      </rPr>
      <t>*JOSE*R***</t>
    </r>
  </si>
  <si>
    <t>2100 G NM103 QD</t>
  </si>
  <si>
    <t>2100 G NM104 QD</t>
  </si>
  <si>
    <r>
      <t>NM1*QD*1*</t>
    </r>
    <r>
      <rPr>
        <sz val="10"/>
        <color rgb="FFFF0000"/>
        <rFont val="Arial"/>
        <family val="2"/>
        <scheme val="minor"/>
      </rPr>
      <t>NATAL                         |MELENDEZ</t>
    </r>
    <r>
      <rPr>
        <sz val="10"/>
        <color rgb="FF000000"/>
        <rFont val="Arial"/>
        <scheme val="minor"/>
      </rPr>
      <t>*TEMPOLA****ZZ*80006045154~</t>
    </r>
  </si>
  <si>
    <r>
      <t>NM1*QD*1</t>
    </r>
    <r>
      <rPr>
        <sz val="10"/>
        <rFont val="Arial"/>
        <family val="2"/>
        <scheme val="minor"/>
      </rPr>
      <t>*NATAL                         |MELENDEZ</t>
    </r>
    <r>
      <rPr>
        <sz val="10"/>
        <color rgb="FF000000"/>
        <rFont val="Arial"/>
        <scheme val="minor"/>
      </rPr>
      <t>*</t>
    </r>
    <r>
      <rPr>
        <sz val="10"/>
        <color rgb="FFFF0000"/>
        <rFont val="Arial"/>
        <family val="2"/>
        <scheme val="minor"/>
      </rPr>
      <t>TEMPOLA</t>
    </r>
    <r>
      <rPr>
        <sz val="10"/>
        <color rgb="FF000000"/>
        <rFont val="Arial"/>
        <scheme val="minor"/>
      </rPr>
      <t>****ZZ*80006045154~</t>
    </r>
  </si>
  <si>
    <r>
      <t>HD*001**HMO*</t>
    </r>
    <r>
      <rPr>
        <sz val="10"/>
        <color rgb="FFFF0000"/>
        <rFont val="Arial"/>
        <family val="2"/>
        <scheme val="minor"/>
      </rPr>
      <t>E</t>
    </r>
    <r>
      <rPr>
        <sz val="10"/>
        <color rgb="FF000000"/>
        <rFont val="Arial"/>
        <scheme val="minor"/>
      </rPr>
      <t>|02|130|TAM|N|00| |N|N|M|N|0.0000  |0.0000  |*IND~</t>
    </r>
  </si>
  <si>
    <t>Not Found/Default Blanks</t>
  </si>
  <si>
    <t>DTP*348*D8*20190501~</t>
  </si>
  <si>
    <t>N3*BO BOQUILLA*CAR 641 K0 1 SECT EL ALTO~</t>
  </si>
  <si>
    <t>N3*RR 1 BOX 12008~</t>
  </si>
  <si>
    <r>
      <t>N4*</t>
    </r>
    <r>
      <rPr>
        <sz val="10"/>
        <color rgb="FFFF0000"/>
        <rFont val="Arial"/>
        <family val="2"/>
        <scheme val="minor"/>
      </rPr>
      <t>MANATI</t>
    </r>
    <r>
      <rPr>
        <sz val="10"/>
        <color rgb="FF000000"/>
        <rFont val="Arial"/>
        <scheme val="minor"/>
      </rPr>
      <t>*PR*006749729~</t>
    </r>
  </si>
  <si>
    <r>
      <t>N4*</t>
    </r>
    <r>
      <rPr>
        <sz val="10"/>
        <rFont val="Arial"/>
        <family val="2"/>
        <scheme val="minor"/>
      </rPr>
      <t>MANATI</t>
    </r>
    <r>
      <rPr>
        <sz val="10"/>
        <color rgb="FF000000"/>
        <rFont val="Arial"/>
        <scheme val="minor"/>
      </rPr>
      <t>*PR*</t>
    </r>
    <r>
      <rPr>
        <sz val="10"/>
        <color rgb="FFFF0000"/>
        <rFont val="Arial"/>
        <family val="2"/>
        <scheme val="minor"/>
      </rPr>
      <t>00674</t>
    </r>
    <r>
      <rPr>
        <sz val="10"/>
        <color rgb="FF000000"/>
        <rFont val="Arial"/>
        <scheme val="minor"/>
      </rPr>
      <t>9729~</t>
    </r>
  </si>
  <si>
    <r>
      <t>N4*</t>
    </r>
    <r>
      <rPr>
        <sz val="10"/>
        <rFont val="Arial"/>
        <family val="2"/>
        <scheme val="minor"/>
      </rPr>
      <t>MANATI</t>
    </r>
    <r>
      <rPr>
        <sz val="10"/>
        <color rgb="FF000000"/>
        <rFont val="Arial"/>
        <scheme val="minor"/>
      </rPr>
      <t>*PR*</t>
    </r>
    <r>
      <rPr>
        <sz val="10"/>
        <rFont val="Arial"/>
        <family val="2"/>
        <scheme val="minor"/>
      </rPr>
      <t>00674</t>
    </r>
    <r>
      <rPr>
        <sz val="10"/>
        <color rgb="FFFF0000"/>
        <rFont val="Arial"/>
        <family val="2"/>
        <scheme val="minor"/>
      </rPr>
      <t>9729</t>
    </r>
    <r>
      <rPr>
        <sz val="10"/>
        <color rgb="FF000000"/>
        <rFont val="Arial"/>
        <scheme val="minor"/>
      </rPr>
      <t>~</t>
    </r>
  </si>
  <si>
    <r>
      <t>N4*</t>
    </r>
    <r>
      <rPr>
        <sz val="10"/>
        <color rgb="FFFF0000"/>
        <rFont val="Arial"/>
        <family val="2"/>
        <scheme val="minor"/>
      </rPr>
      <t>MANATI</t>
    </r>
    <r>
      <rPr>
        <sz val="10"/>
        <color rgb="FF000000"/>
        <rFont val="Arial"/>
        <scheme val="minor"/>
      </rPr>
      <t>*PR*006749998**CY*188~</t>
    </r>
  </si>
  <si>
    <r>
      <t>N4*MANATI*PR*</t>
    </r>
    <r>
      <rPr>
        <sz val="10"/>
        <color rgb="FFFF0000"/>
        <rFont val="Arial"/>
        <family val="2"/>
        <scheme val="minor"/>
      </rPr>
      <t>00674</t>
    </r>
    <r>
      <rPr>
        <sz val="10"/>
        <color rgb="FF000000"/>
        <rFont val="Arial"/>
        <scheme val="minor"/>
      </rPr>
      <t>9998**CY*188~</t>
    </r>
  </si>
  <si>
    <r>
      <t>N4*MANATI*PR*00674</t>
    </r>
    <r>
      <rPr>
        <sz val="10"/>
        <color rgb="FFFF0000"/>
        <rFont val="Arial"/>
        <family val="2"/>
        <scheme val="minor"/>
      </rPr>
      <t>9998</t>
    </r>
    <r>
      <rPr>
        <sz val="10"/>
        <color rgb="FF000000"/>
        <rFont val="Arial"/>
        <scheme val="minor"/>
      </rPr>
      <t>**CY*188~</t>
    </r>
  </si>
  <si>
    <t>PER*IP**TE*7873870373~</t>
  </si>
  <si>
    <r>
      <t>INS*Y*18*024*</t>
    </r>
    <r>
      <rPr>
        <sz val="10"/>
        <color rgb="FFFF0000"/>
        <rFont val="Arial"/>
        <family val="2"/>
        <scheme val="minor"/>
      </rPr>
      <t>07</t>
    </r>
    <r>
      <rPr>
        <sz val="10"/>
        <color rgb="FF000000"/>
        <rFont val="Arial"/>
        <scheme val="minor"/>
      </rPr>
      <t>*A*C**AC~</t>
    </r>
  </si>
  <si>
    <r>
      <t>REF*38*</t>
    </r>
    <r>
      <rPr>
        <sz val="10"/>
        <color rgb="FFFF0000"/>
        <rFont val="Arial"/>
        <family val="2"/>
        <scheme val="minor"/>
      </rPr>
      <t>690320</t>
    </r>
    <r>
      <rPr>
        <sz val="10"/>
        <color rgb="FF000000"/>
        <rFont val="Arial"/>
        <scheme val="minor"/>
      </rPr>
      <t>~</t>
    </r>
  </si>
  <si>
    <t>when Ref02  = "38"</t>
  </si>
  <si>
    <t>DTP*348*D8*20181201~</t>
  </si>
  <si>
    <t>DTP*349*D8*20230831~</t>
  </si>
  <si>
    <t>when REF02  = "38"</t>
  </si>
  <si>
    <r>
      <t>NM1*P3*1*CARMEN G PADILLA ORT*IZ***</t>
    </r>
    <r>
      <rPr>
        <sz val="10"/>
        <rFont val="Arial"/>
        <family val="2"/>
        <scheme val="minor"/>
      </rPr>
      <t>011389200</t>
    </r>
    <r>
      <rPr>
        <sz val="10"/>
        <color rgb="FF000000"/>
        <rFont val="Arial"/>
        <scheme val="minor"/>
      </rPr>
      <t>*XX*</t>
    </r>
    <r>
      <rPr>
        <sz val="10"/>
        <color theme="5"/>
        <rFont val="Arial"/>
        <family val="2"/>
        <scheme val="minor"/>
      </rPr>
      <t>1235167446</t>
    </r>
    <r>
      <rPr>
        <sz val="10"/>
        <color rgb="FF000000"/>
        <rFont val="Arial"/>
        <scheme val="minor"/>
      </rPr>
      <t>*25~</t>
    </r>
  </si>
  <si>
    <r>
      <t>PLA*2*1P*</t>
    </r>
    <r>
      <rPr>
        <sz val="10"/>
        <color theme="5"/>
        <rFont val="Arial"/>
        <family val="2"/>
        <scheme val="minor"/>
      </rPr>
      <t>20200220</t>
    </r>
    <r>
      <rPr>
        <sz val="10"/>
        <color rgb="FF000000"/>
        <rFont val="Arial"/>
        <scheme val="minor"/>
      </rPr>
      <t>**AI~</t>
    </r>
  </si>
  <si>
    <t>2310 NM109, XX</t>
  </si>
  <si>
    <t>Default zero fill</t>
  </si>
  <si>
    <t>2300 DTP01 474</t>
  </si>
  <si>
    <t>Confirmar si no la van a enviar</t>
  </si>
  <si>
    <t>Default Blank</t>
  </si>
  <si>
    <t xml:space="preserve">HD04, 4 </t>
  </si>
  <si>
    <t>Poner el MPI sin los 2 cero o en blanco</t>
  </si>
  <si>
    <t>Based on HD04, 3 -&gt; 1 - Medicaid (100)
2 - CHIP (200)
3 - Commonwealth (300)</t>
  </si>
  <si>
    <t>REF02, when 2320 REF01 =  6P</t>
  </si>
  <si>
    <t>when 2330 NM101 = "IN"  then  2330 NM109</t>
  </si>
  <si>
    <t>Plan Coverage Description (HD04),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</si>
</sst>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9"/>
      <color rgb="FFFFFFFF"/>
      <name val="Arial"/>
      <family val="2"/>
    </font>
    <font>
      <b/>
      <sz val="9"/>
      <color theme="1"/>
      <name val="Arial"/>
      <family val="2"/>
    </font>
    <font>
      <sz val="9"/>
      <color theme="1"/>
      <name val="Arial"/>
      <family val="2"/>
    </font>
    <font>
      <sz val="9"/>
      <color rgb="FF000000"/>
      <name val="Arial"/>
      <family val="2"/>
    </font>
    <font>
      <sz val="10"/>
      <color theme="1"/>
      <name val="Arial"/>
      <family val="2"/>
    </font>
    <font>
      <sz val="9"/>
      <color rgb="FF1155CC"/>
      <name val="Arial"/>
      <family val="2"/>
    </font>
    <font>
      <sz val="9"/>
      <color rgb="FF222222"/>
      <name val="Arial"/>
      <family val="2"/>
    </font>
    <font>
      <sz val="10"/>
      <color theme="1"/>
      <name val="Arial"/>
      <family val="2"/>
    </font>
    <font>
      <sz val="10"/>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b/>
      <sz val="11"/>
      <color theme="0"/>
      <name val="Arial"/>
      <family val="2"/>
      <scheme val="minor"/>
    </font>
    <font>
      <sz val="11"/>
      <color theme="0"/>
      <name val="Arial"/>
      <family val="2"/>
      <scheme val="minor"/>
    </font>
    <font>
      <sz val="8"/>
      <name val="Arial"/>
      <scheme val="minor"/>
    </font>
    <font>
      <sz val="10"/>
      <color rgb="FFFF0000"/>
      <name val="Arial"/>
      <family val="2"/>
      <scheme val="minor"/>
    </font>
    <font>
      <sz val="10"/>
      <color rgb="FF000000"/>
      <name val="Arial"/>
      <family val="2"/>
      <scheme val="minor"/>
    </font>
    <font>
      <sz val="10"/>
      <color theme="5"/>
      <name val="Arial"/>
      <family val="2"/>
      <scheme val="minor"/>
    </font>
    <font>
      <sz val="9"/>
      <color indexed="81"/>
      <name val="Tahoma"/>
      <charset val="1"/>
    </font>
  </fonts>
  <fills count="16">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FF"/>
      </patternFill>
    </fill>
    <fill>
      <patternFill patternType="solid">
        <fgColor theme="4" tint="0.79998168889431442"/>
        <bgColor rgb="FFFFFFFF"/>
      </patternFill>
    </fill>
    <fill>
      <patternFill patternType="solid">
        <fgColor rgb="FF92D050"/>
        <b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theme="5"/>
      </patternFill>
    </fill>
    <fill>
      <patternFill patternType="solid">
        <fgColor theme="8" tint="0.59999389629810485"/>
        <bgColor rgb="FFD9D9D9"/>
      </patternFill>
    </fill>
    <fill>
      <patternFill patternType="solid">
        <fgColor theme="6" tint="0.59999389629810485"/>
        <bgColor indexed="64"/>
      </patternFill>
    </fill>
    <fill>
      <patternFill patternType="solid">
        <fgColor theme="6" tint="0.59999389629810485"/>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5">
    <xf numFmtId="0" fontId="0" fillId="0" borderId="0"/>
    <xf numFmtId="0" fontId="10" fillId="9" borderId="0" applyNumberFormat="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4" fillId="12" borderId="0" applyNumberFormat="0" applyBorder="0" applyAlignment="0" applyProtection="0"/>
  </cellStyleXfs>
  <cellXfs count="66">
    <xf numFmtId="0" fontId="0" fillId="0" borderId="0" xfId="0" applyFont="1" applyAlignment="1"/>
    <xf numFmtId="0" fontId="1" fillId="2" borderId="1" xfId="0" applyFont="1" applyFill="1" applyBorder="1" applyAlignment="1">
      <alignment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wrapText="1"/>
    </xf>
    <xf numFmtId="49" fontId="2" fillId="3" borderId="1" xfId="0" applyNumberFormat="1"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xf>
    <xf numFmtId="49" fontId="3" fillId="4" borderId="1" xfId="0" applyNumberFormat="1" applyFont="1" applyFill="1" applyBorder="1" applyAlignment="1">
      <alignment vertical="center" wrapText="1"/>
    </xf>
    <xf numFmtId="0" fontId="4" fillId="4" borderId="1" xfId="0" applyFont="1" applyFill="1" applyBorder="1" applyAlignment="1">
      <alignment horizontal="center" vertical="center"/>
    </xf>
    <xf numFmtId="0" fontId="3" fillId="4" borderId="1" xfId="0" applyFont="1" applyFill="1" applyBorder="1" applyAlignment="1">
      <alignment vertical="center"/>
    </xf>
    <xf numFmtId="49" fontId="3" fillId="5" borderId="1" xfId="0" applyNumberFormat="1" applyFont="1" applyFill="1" applyBorder="1" applyAlignment="1">
      <alignment vertical="center" wrapText="1"/>
    </xf>
    <xf numFmtId="0" fontId="2" fillId="3" borderId="1" xfId="0" applyFont="1" applyFill="1" applyBorder="1" applyAlignment="1">
      <alignment vertical="center"/>
    </xf>
    <xf numFmtId="49" fontId="3" fillId="4" borderId="1" xfId="0" applyNumberFormat="1" applyFont="1" applyFill="1" applyBorder="1" applyAlignment="1">
      <alignment wrapText="1"/>
    </xf>
    <xf numFmtId="0" fontId="3" fillId="0" borderId="1" xfId="0" applyFont="1" applyBorder="1" applyAlignment="1">
      <alignment vertical="center"/>
    </xf>
    <xf numFmtId="0" fontId="5" fillId="0" borderId="0" xfId="0" applyFont="1" applyAlignment="1">
      <alignment vertical="center"/>
    </xf>
    <xf numFmtId="49" fontId="6" fillId="4" borderId="1" xfId="0" applyNumberFormat="1" applyFont="1" applyFill="1" applyBorder="1" applyAlignment="1">
      <alignment vertical="center" wrapText="1"/>
    </xf>
    <xf numFmtId="49" fontId="1" fillId="2" borderId="2" xfId="0" applyNumberFormat="1" applyFont="1" applyFill="1" applyBorder="1" applyAlignment="1">
      <alignment vertical="top" wrapText="1"/>
    </xf>
    <xf numFmtId="0" fontId="1" fillId="2" borderId="2" xfId="0" applyFont="1" applyFill="1" applyBorder="1" applyAlignment="1">
      <alignment vertical="top" wrapText="1"/>
    </xf>
    <xf numFmtId="49" fontId="7" fillId="4" borderId="3" xfId="0" applyNumberFormat="1" applyFont="1" applyFill="1" applyBorder="1" applyAlignment="1">
      <alignment vertical="top" wrapText="1"/>
    </xf>
    <xf numFmtId="0" fontId="7" fillId="4" borderId="3" xfId="0" applyFont="1" applyFill="1" applyBorder="1" applyAlignment="1">
      <alignment vertical="top" wrapText="1"/>
    </xf>
    <xf numFmtId="49" fontId="3" fillId="4" borderId="3" xfId="0" applyNumberFormat="1" applyFont="1" applyFill="1" applyBorder="1" applyAlignment="1">
      <alignment vertical="top" wrapText="1"/>
    </xf>
    <xf numFmtId="0" fontId="3" fillId="4" borderId="3" xfId="0" applyFont="1" applyFill="1" applyBorder="1" applyAlignment="1">
      <alignment vertical="top" wrapText="1"/>
    </xf>
    <xf numFmtId="0" fontId="8" fillId="4" borderId="3" xfId="0" applyFont="1" applyFill="1" applyBorder="1" applyAlignment="1">
      <alignment vertical="top"/>
    </xf>
    <xf numFmtId="0" fontId="3" fillId="6" borderId="1" xfId="0" applyFont="1" applyFill="1" applyBorder="1" applyAlignment="1">
      <alignment horizontal="center" vertical="center"/>
    </xf>
    <xf numFmtId="0" fontId="3" fillId="6" borderId="1" xfId="0" applyFont="1" applyFill="1" applyBorder="1" applyAlignment="1">
      <alignment vertical="center"/>
    </xf>
    <xf numFmtId="49" fontId="3" fillId="6" borderId="1" xfId="0" applyNumberFormat="1" applyFont="1" applyFill="1" applyBorder="1" applyAlignment="1">
      <alignment vertical="center" wrapText="1"/>
    </xf>
    <xf numFmtId="0" fontId="3" fillId="7" borderId="1" xfId="0" applyFont="1" applyFill="1" applyBorder="1" applyAlignment="1">
      <alignment horizontal="center" vertical="center"/>
    </xf>
    <xf numFmtId="0" fontId="3" fillId="7" borderId="1" xfId="0" applyFont="1" applyFill="1" applyBorder="1" applyAlignment="1">
      <alignment vertical="center"/>
    </xf>
    <xf numFmtId="49" fontId="3" fillId="7" borderId="1" xfId="0" applyNumberFormat="1" applyFont="1" applyFill="1" applyBorder="1" applyAlignment="1">
      <alignment vertical="center" wrapText="1"/>
    </xf>
    <xf numFmtId="0" fontId="3" fillId="8" borderId="1" xfId="0" applyFont="1" applyFill="1" applyBorder="1" applyAlignment="1">
      <alignment horizontal="center" vertical="center"/>
    </xf>
    <xf numFmtId="0" fontId="3" fillId="8" borderId="1" xfId="0" applyFont="1" applyFill="1" applyBorder="1" applyAlignment="1">
      <alignment vertical="center"/>
    </xf>
    <xf numFmtId="49" fontId="3" fillId="8" borderId="1" xfId="0" applyNumberFormat="1" applyFont="1" applyFill="1" applyBorder="1" applyAlignment="1">
      <alignment vertical="center" wrapText="1"/>
    </xf>
    <xf numFmtId="49" fontId="3" fillId="4" borderId="4" xfId="0" applyNumberFormat="1" applyFont="1" applyFill="1" applyBorder="1" applyAlignment="1">
      <alignment vertical="center" wrapText="1"/>
    </xf>
    <xf numFmtId="0" fontId="0" fillId="0" borderId="0" xfId="0" applyAlignment="1">
      <alignment wrapText="1"/>
    </xf>
    <xf numFmtId="0" fontId="0" fillId="0" borderId="0" xfId="0"/>
    <xf numFmtId="0" fontId="11" fillId="10" borderId="1" xfId="2" applyBorder="1" applyAlignment="1">
      <alignment vertical="center" wrapText="1"/>
    </xf>
    <xf numFmtId="0" fontId="0" fillId="0" borderId="0" xfId="0" applyFont="1" applyAlignment="1">
      <alignment wrapText="1"/>
    </xf>
    <xf numFmtId="0" fontId="5" fillId="0" borderId="0" xfId="0" applyFont="1" applyAlignment="1">
      <alignment vertical="center" wrapText="1"/>
    </xf>
    <xf numFmtId="0" fontId="11" fillId="10" borderId="0" xfId="2" applyAlignment="1"/>
    <xf numFmtId="0" fontId="11" fillId="10" borderId="0" xfId="2" applyAlignment="1">
      <alignment wrapText="1"/>
    </xf>
    <xf numFmtId="49" fontId="12" fillId="11" borderId="1" xfId="3" applyNumberFormat="1" applyBorder="1" applyAlignment="1">
      <alignment vertical="center" wrapText="1"/>
    </xf>
    <xf numFmtId="0" fontId="11" fillId="10" borderId="1" xfId="2" applyBorder="1" applyAlignment="1">
      <alignment vertical="center"/>
    </xf>
    <xf numFmtId="0" fontId="17" fillId="0" borderId="0" xfId="0" applyFont="1" applyAlignment="1"/>
    <xf numFmtId="0" fontId="17" fillId="0" borderId="0" xfId="0" applyFont="1" applyAlignment="1">
      <alignment wrapText="1"/>
    </xf>
    <xf numFmtId="0" fontId="0" fillId="0" borderId="2" xfId="0" applyBorder="1"/>
    <xf numFmtId="0" fontId="11" fillId="10" borderId="2" xfId="2" applyBorder="1"/>
    <xf numFmtId="49" fontId="2" fillId="13" borderId="1" xfId="0" applyNumberFormat="1" applyFont="1" applyFill="1" applyBorder="1" applyAlignment="1">
      <alignment vertical="center" wrapText="1"/>
    </xf>
    <xf numFmtId="0" fontId="17" fillId="0" borderId="2" xfId="0" applyFont="1" applyBorder="1"/>
    <xf numFmtId="49" fontId="10" fillId="9" borderId="1" xfId="1" applyNumberFormat="1" applyBorder="1" applyAlignment="1">
      <alignment vertical="center" wrapText="1"/>
    </xf>
    <xf numFmtId="49" fontId="11" fillId="10" borderId="1" xfId="2" applyNumberFormat="1" applyBorder="1" applyAlignment="1">
      <alignment vertical="center" wrapText="1"/>
    </xf>
    <xf numFmtId="0" fontId="13" fillId="12" borderId="5" xfId="4" applyFont="1" applyBorder="1" applyAlignment="1">
      <alignment horizontal="center"/>
    </xf>
    <xf numFmtId="0" fontId="13" fillId="12" borderId="2" xfId="4" applyFont="1" applyBorder="1" applyAlignment="1">
      <alignment horizontal="center"/>
    </xf>
    <xf numFmtId="0" fontId="17" fillId="14" borderId="2" xfId="0" applyFont="1" applyFill="1" applyBorder="1"/>
    <xf numFmtId="0" fontId="0" fillId="14" borderId="0" xfId="0" applyFill="1" applyAlignment="1">
      <alignment wrapText="1"/>
    </xf>
    <xf numFmtId="0" fontId="0" fillId="14" borderId="2" xfId="0" applyFill="1" applyBorder="1"/>
    <xf numFmtId="49" fontId="3" fillId="15" borderId="4" xfId="0" applyNumberFormat="1" applyFont="1" applyFill="1" applyBorder="1" applyAlignment="1">
      <alignment vertical="center" wrapText="1"/>
    </xf>
    <xf numFmtId="0" fontId="0" fillId="14" borderId="0" xfId="0" applyFont="1" applyFill="1" applyAlignment="1">
      <alignment wrapText="1"/>
    </xf>
    <xf numFmtId="0" fontId="0" fillId="14" borderId="0" xfId="0" applyFont="1" applyFill="1" applyAlignment="1"/>
    <xf numFmtId="49" fontId="3" fillId="15" borderId="1" xfId="0" applyNumberFormat="1" applyFont="1" applyFill="1" applyBorder="1" applyAlignment="1">
      <alignment vertical="center" wrapText="1"/>
    </xf>
    <xf numFmtId="0" fontId="17" fillId="14" borderId="0" xfId="0" applyFont="1" applyFill="1" applyAlignment="1">
      <alignment wrapText="1"/>
    </xf>
    <xf numFmtId="0" fontId="17" fillId="14" borderId="0" xfId="0" applyFont="1" applyFill="1" applyAlignment="1"/>
    <xf numFmtId="0" fontId="0" fillId="14" borderId="2" xfId="0" applyFill="1" applyBorder="1" applyAlignment="1">
      <alignment wrapText="1"/>
    </xf>
    <xf numFmtId="0" fontId="17" fillId="14" borderId="2" xfId="0" applyFont="1" applyFill="1" applyBorder="1" applyAlignment="1">
      <alignment wrapText="1"/>
    </xf>
  </cellXfs>
  <cellStyles count="5">
    <cellStyle name="Accent2" xfId="4" builtinId="33"/>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 Id="rId4" Type="http://schemas.openxmlformats.org/officeDocument/2006/relationships/worksheet" Target="worksheets/sheet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581025</xdr:colOff>
      <xdr:row>32</xdr:row>
      <xdr:rowOff>142527</xdr:rowOff>
    </xdr:to>
    <xdr:pic>
      <xdr:nvPicPr>
        <xdr:cNvPr id="2" name="Picture 1">
          <a:extLst>
            <a:ext uri="{FF2B5EF4-FFF2-40B4-BE49-F238E27FC236}">
              <a16:creationId xmlns:a16="http://schemas.microsoft.com/office/drawing/2014/main" id="{5DCC3B17-11FA-26C1-56E7-DBD23017C46E}"/>
            </a:ext>
          </a:extLst>
        </xdr:cNvPr>
        <xdr:cNvPicPr>
          <a:picLocks noChangeAspect="1"/>
        </xdr:cNvPicPr>
      </xdr:nvPicPr>
      <xdr:blipFill>
        <a:blip xmlns:r="http://schemas.openxmlformats.org/officeDocument/2006/relationships" r:embed="rId1"/>
        <a:stretch>
          <a:fillRect/>
        </a:stretch>
      </xdr:blipFill>
      <xdr:spPr>
        <a:xfrm>
          <a:off x="0" y="0"/>
          <a:ext cx="4238625" cy="5324127"/>
        </a:xfrm>
        <a:prstGeom prst="rect">
          <a:avLst/>
        </a:prstGeom>
      </xdr:spPr>
    </xdr:pic>
    <xdr:clientData/>
  </xdr:twoCellAnchor>
  <xdr:twoCellAnchor>
    <xdr:from>
      <xdr:col>0</xdr:col>
      <xdr:colOff>0</xdr:colOff>
      <xdr:row>0</xdr:row>
      <xdr:rowOff>0</xdr:rowOff>
    </xdr:from>
    <xdr:to>
      <xdr:col>1</xdr:col>
      <xdr:colOff>57150</xdr:colOff>
      <xdr:row>3</xdr:row>
      <xdr:rowOff>0</xdr:rowOff>
    </xdr:to>
    <xdr:sp macro="" textlink="">
      <xdr:nvSpPr>
        <xdr:cNvPr id="8193" name="Text Box 1">
          <a:extLst>
            <a:ext uri="{FF2B5EF4-FFF2-40B4-BE49-F238E27FC236}">
              <a16:creationId xmlns:a16="http://schemas.microsoft.com/office/drawing/2014/main" id="{DC2A2C17-223B-ABEF-3827-58342523E01F}"/>
            </a:ext>
          </a:extLst>
        </xdr:cNvPr>
        <xdr:cNvSpPr txBox="1">
          <a:spLocks noChangeArrowheads="1"/>
        </xdr:cNvSpPr>
      </xdr:nvSpPr>
      <xdr:spPr bwMode="auto">
        <a:xfrm>
          <a:off x="0" y="0"/>
          <a:ext cx="666750" cy="4857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AR" sz="1000" b="0" i="0" u="none" strike="noStrike" baseline="0">
              <a:solidFill>
                <a:srgbClr val="000000"/>
              </a:solidFill>
              <a:latin typeface="Arial"/>
              <a:cs typeface="Arial"/>
            </a:rPr>
            <a:t>2320 DTP01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180648</xdr:colOff>
      <xdr:row>15</xdr:row>
      <xdr:rowOff>161601</xdr:rowOff>
    </xdr:to>
    <xdr:pic>
      <xdr:nvPicPr>
        <xdr:cNvPr id="2" name="Picture 1">
          <a:extLst>
            <a:ext uri="{FF2B5EF4-FFF2-40B4-BE49-F238E27FC236}">
              <a16:creationId xmlns:a16="http://schemas.microsoft.com/office/drawing/2014/main" id="{66DEEF17-9EA2-3E75-313D-01864B98A008}"/>
            </a:ext>
          </a:extLst>
        </xdr:cNvPr>
        <xdr:cNvPicPr>
          <a:picLocks noChangeAspect="1"/>
        </xdr:cNvPicPr>
      </xdr:nvPicPr>
      <xdr:blipFill>
        <a:blip xmlns:r="http://schemas.openxmlformats.org/officeDocument/2006/relationships" r:embed="rId1"/>
        <a:stretch>
          <a:fillRect/>
        </a:stretch>
      </xdr:blipFill>
      <xdr:spPr>
        <a:xfrm>
          <a:off x="0" y="0"/>
          <a:ext cx="2619048" cy="25904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tias Aleman" id="{9BD0C394-9AE5-4523-A9D3-5E4CF5D66560}" userId="S::Matias.Aleman@mmmhc.com::ef3fdc61-f42c-4091-bbfa-8bc05535f54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5" dT="2023-08-18T19:45:38.21" personId="{9BD0C394-9AE5-4523-A9D3-5E4CF5D66560}" id="{E4110AB1-036B-44A8-BF67-4879BBA1055A}">
    <text>No entiendo este maping</text>
  </threadedComment>
  <threadedComment ref="H48" dT="2023-08-17T14:02:53.30" personId="{9BD0C394-9AE5-4523-A9D3-5E4CF5D66560}" id="{B144A9B8-07A4-4EFA-A372-1E704FA3631C}">
    <text>No existe este codigo en ese segmento</text>
  </threadedComment>
  <threadedComment ref="G54" dT="2023-08-17T14:33:19.28" personId="{9BD0C394-9AE5-4523-A9D3-5E4CF5D66560}" id="{358FF77A-F7AF-48E5-82B7-943A30EF393A}">
    <text>No existe el codigo 4</text>
  </threadedComment>
  <threadedComment ref="H57" dT="2023-08-18T19:46:49.05" personId="{9BD0C394-9AE5-4523-A9D3-5E4CF5D66560}" id="{DFDE42A7-5C42-44D1-9A94-8002F654290A}">
    <text>No se si este sea el numero de poliza???</text>
  </threadedComment>
  <threadedComment ref="H66" dT="2023-08-17T15:40:25.60" personId="{9BD0C394-9AE5-4523-A9D3-5E4CF5D66560}" id="{94B75EDA-4662-47F7-8B88-8A9709A6B7C8}">
    <text>LOOP 2000 REF with code 3H</text>
  </threadedComment>
  <threadedComment ref="F97" dT="2023-08-17T16:30:58.65" personId="{9BD0C394-9AE5-4523-A9D3-5E4CF5D66560}" id="{4936766A-896C-472C-8AEA-AE85A2E6A9B5}">
    <text>No llega en la 834, y en el EXP siempre esta</text>
  </threadedComment>
  <threadedComment ref="F106" dT="2023-08-17T16:41:59.50" personId="{9BD0C394-9AE5-4523-A9D3-5E4CF5D66560}" id="{9A18C8DE-0DAB-459D-BCA1-F02558C42C57}">
    <text>No llega en la 834, puse default blank</text>
  </threadedComment>
  <threadedComment ref="G108" dT="2023-08-17T16:47:48.60" personId="{9BD0C394-9AE5-4523-A9D3-5E4CF5D66560}" id="{D9BB73B9-B421-4E32-B486-9675016FE16C}">
    <text>No llega en la 834</text>
  </threadedComment>
  <threadedComment ref="H112" dT="2023-08-18T19:48:42.57" personId="{9BD0C394-9AE5-4523-A9D3-5E4CF5D66560}" id="{CC84EFF8-EF84-4FA5-B5DB-4EEB7CAAB5EF}">
    <text>Le pongo como default Y siempre?</text>
  </threadedComment>
  <threadedComment ref="G120" dT="2023-08-17T20:26:32.61" personId="{9BD0C394-9AE5-4523-A9D3-5E4CF5D66560}" id="{2E6DDAB5-94B3-4DB5-872B-D794736941CC}">
    <text>Necesita tabla de traduccion</text>
  </threadedComment>
  <threadedComment ref="G124" dT="2023-08-17T17:02:38.44" personId="{9BD0C394-9AE5-4523-A9D3-5E4CF5D66560}" id="{7B00AD11-CEF9-424C-B399-C1EBCC391D6E}">
    <text>Se mapeo el REF02 OF con dos 0 al frente</text>
  </threadedComment>
  <threadedComment ref="H126" dT="2023-08-17T17:03:56.89" personId="{9BD0C394-9AE5-4523-A9D3-5E4CF5D66560}" id="{C9F8C087-00DA-416D-B78E-94948D366044}">
    <text>No existe el cdigo 38 en ese segmento</text>
  </threadedComment>
  <threadedComment ref="H135" dT="2023-08-17T19:44:57.61" personId="{9BD0C394-9AE5-4523-A9D3-5E4CF5D66560}" id="{DE0C05E5-302B-442D-83CF-508564712D07}">
    <text>Como se que es nuevo?</text>
  </threadedComment>
  <threadedComment ref="G143" dT="2023-08-17T20:19:48.80" personId="{9BD0C394-9AE5-4523-A9D3-5E4CF5D66560}" id="{6E18DDD0-32FF-44C1-9AED-BCB2CED465CA}">
    <text>No lo entiendo</text>
  </threadedComment>
  <threadedComment ref="H145" dT="2023-08-17T20:27:11.31" personId="{9BD0C394-9AE5-4523-A9D3-5E4CF5D66560}" id="{1AF85B38-8A8C-4C35-8EA2-7172B24EFE53}">
    <text>Necesita traduccion</text>
  </threadedComment>
  <threadedComment ref="G147" dT="2023-08-17T20:48:36.28" personId="{9BD0C394-9AE5-4523-A9D3-5E4CF5D66560}" id="{6D4E4C48-585A-4893-B45F-E99908CF956C}">
    <text>El valor en la 834 es de 9 char, se debe de traducir al codigo de 2 char</text>
  </threadedComment>
  <threadedComment ref="H148" dT="2023-08-17T20:49:38.71" personId="{9BD0C394-9AE5-4523-A9D3-5E4CF5D66560}" id="{9676BDD6-C500-4EC8-8663-78C090C0967F}">
    <text>cual es la fecha para el new carrier?</text>
  </threadedComment>
  <threadedComment ref="G177" dT="2023-08-18T11:01:48.30" personId="{9BD0C394-9AE5-4523-A9D3-5E4CF5D66560}" id="{8C79B495-2348-4FEA-92E7-7B58B2E9D112}">
    <text>Pq de aqui y no del 2100 A</text>
  </threadedComment>
  <threadedComment ref="H213" dT="2023-08-18T19:51:19.02" personId="{9BD0C394-9AE5-4523-A9D3-5E4CF5D66560}" id="{07BC25F5-DA88-4B53-98B5-BBF9B3438C3F}">
    <text>En la x12 llega asi 91^35^48^50^89^90  y por ahora lo  estoy colocando asi en el file.  El layout dice que son dos caracters por codigo de servicio pero puede que llegue 1 caracter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X228"/>
  <sheetViews>
    <sheetView tabSelected="1" zoomScaleNormal="100" workbookViewId="0">
      <pane ySplit="1" topLeftCell="A215" activePane="bottomLeft" state="frozen"/>
      <selection pane="bottomLeft" activeCell="H212" sqref="H212"/>
    </sheetView>
  </sheetViews>
  <sheetFormatPr defaultColWidth="12.5703125" defaultRowHeight="12.75" x14ac:dyDescent="0.2"/>
  <cols>
    <col min="1" max="1" width="6.85546875" bestFit="1" customWidth="1"/>
    <col min="2" max="2" width="4.7109375" bestFit="1" customWidth="1"/>
    <col min="3" max="3" width="28" bestFit="1" customWidth="1"/>
    <col min="4" max="4" width="11.7109375" bestFit="1" customWidth="1"/>
    <col min="5" max="5" width="4.42578125" bestFit="1" customWidth="1"/>
    <col min="6" max="6" width="65.140625" customWidth="1"/>
    <col min="7" max="7" width="42.85546875" bestFit="1" customWidth="1"/>
    <col min="8" max="8" width="43.85546875" style="39" bestFit="1" customWidth="1"/>
    <col min="9" max="9" width="22.28515625" style="39" customWidth="1"/>
    <col min="10" max="10" width="89.7109375" bestFit="1" customWidth="1"/>
  </cols>
  <sheetData>
    <row r="1" spans="1:10" ht="15" x14ac:dyDescent="0.25">
      <c r="A1" s="1" t="s">
        <v>0</v>
      </c>
      <c r="B1" s="2" t="s">
        <v>1</v>
      </c>
      <c r="C1" s="1" t="s">
        <v>2</v>
      </c>
      <c r="D1" s="2" t="s">
        <v>3</v>
      </c>
      <c r="E1" s="2" t="s">
        <v>4</v>
      </c>
      <c r="F1" s="3" t="s">
        <v>5</v>
      </c>
      <c r="G1" s="53" t="s">
        <v>336</v>
      </c>
      <c r="H1" s="54"/>
      <c r="I1" s="54"/>
      <c r="J1" s="54"/>
    </row>
    <row r="2" spans="1:10" x14ac:dyDescent="0.2">
      <c r="A2" s="4" t="s">
        <v>6</v>
      </c>
      <c r="B2" s="4"/>
      <c r="C2" s="5" t="s">
        <v>7</v>
      </c>
      <c r="D2" s="4"/>
      <c r="E2" s="4"/>
      <c r="F2" s="6"/>
      <c r="G2" s="49" t="s">
        <v>337</v>
      </c>
      <c r="H2" s="49" t="s">
        <v>338</v>
      </c>
      <c r="I2" s="49" t="s">
        <v>399</v>
      </c>
      <c r="J2" s="49" t="s">
        <v>421</v>
      </c>
    </row>
    <row r="3" spans="1:10" x14ac:dyDescent="0.2">
      <c r="A3" s="7" t="s">
        <v>6</v>
      </c>
      <c r="B3" s="7">
        <v>1</v>
      </c>
      <c r="C3" s="8" t="s">
        <v>8</v>
      </c>
      <c r="D3" s="7">
        <v>1</v>
      </c>
      <c r="E3" s="9">
        <v>1</v>
      </c>
      <c r="F3" s="10" t="s">
        <v>9</v>
      </c>
      <c r="G3" s="36" t="s">
        <v>350</v>
      </c>
      <c r="H3" s="36"/>
    </row>
    <row r="4" spans="1:10" ht="120" x14ac:dyDescent="0.2">
      <c r="A4" s="7" t="s">
        <v>6</v>
      </c>
      <c r="B4" s="7">
        <v>2</v>
      </c>
      <c r="C4" s="47" t="s">
        <v>10</v>
      </c>
      <c r="D4" s="7">
        <f t="shared" ref="D4:D73" si="0">D3+E3</f>
        <v>2</v>
      </c>
      <c r="E4" s="7">
        <v>1</v>
      </c>
      <c r="F4" s="10" t="s">
        <v>11</v>
      </c>
      <c r="G4" s="47" t="s">
        <v>398</v>
      </c>
      <c r="H4" s="36"/>
    </row>
    <row r="5" spans="1:10" ht="84" x14ac:dyDescent="0.2">
      <c r="A5" s="7" t="s">
        <v>6</v>
      </c>
      <c r="B5" s="7">
        <v>3</v>
      </c>
      <c r="C5" s="8" t="s">
        <v>12</v>
      </c>
      <c r="D5" s="7">
        <f t="shared" si="0"/>
        <v>3</v>
      </c>
      <c r="E5" s="11">
        <v>8</v>
      </c>
      <c r="F5" s="10" t="s">
        <v>13</v>
      </c>
      <c r="G5" s="36" t="s">
        <v>340</v>
      </c>
      <c r="H5" s="36" t="s">
        <v>341</v>
      </c>
      <c r="J5" s="46" t="s">
        <v>420</v>
      </c>
    </row>
    <row r="6" spans="1:10" ht="51" x14ac:dyDescent="0.2">
      <c r="A6" s="7" t="s">
        <v>6</v>
      </c>
      <c r="B6" s="7">
        <v>4</v>
      </c>
      <c r="C6" s="12" t="s">
        <v>14</v>
      </c>
      <c r="D6" s="7">
        <f t="shared" si="0"/>
        <v>11</v>
      </c>
      <c r="E6" s="9">
        <v>9</v>
      </c>
      <c r="F6" s="10" t="s">
        <v>15</v>
      </c>
      <c r="G6" s="45" t="s">
        <v>418</v>
      </c>
      <c r="H6" s="36" t="s">
        <v>343</v>
      </c>
      <c r="J6" s="45" t="s">
        <v>419</v>
      </c>
    </row>
    <row r="7" spans="1:10" x14ac:dyDescent="0.2">
      <c r="A7" s="7" t="s">
        <v>6</v>
      </c>
      <c r="B7" s="7">
        <v>5</v>
      </c>
      <c r="C7" s="8" t="s">
        <v>16</v>
      </c>
      <c r="D7" s="7">
        <f t="shared" si="0"/>
        <v>20</v>
      </c>
      <c r="E7" s="9">
        <v>2</v>
      </c>
      <c r="F7" s="10" t="s">
        <v>17</v>
      </c>
      <c r="G7" s="35" t="s">
        <v>344</v>
      </c>
      <c r="H7" s="36"/>
    </row>
    <row r="8" spans="1:10" x14ac:dyDescent="0.2">
      <c r="A8" s="7" t="s">
        <v>6</v>
      </c>
      <c r="B8" s="7">
        <v>6</v>
      </c>
      <c r="C8" s="8" t="s">
        <v>16</v>
      </c>
      <c r="D8" s="7">
        <f t="shared" si="0"/>
        <v>22</v>
      </c>
      <c r="E8" s="9">
        <v>14</v>
      </c>
      <c r="F8" s="10" t="s">
        <v>18</v>
      </c>
      <c r="G8" s="35" t="s">
        <v>345</v>
      </c>
      <c r="H8" s="36"/>
    </row>
    <row r="9" spans="1:10" ht="48" x14ac:dyDescent="0.2">
      <c r="A9" s="7" t="s">
        <v>6</v>
      </c>
      <c r="B9" s="7">
        <v>7</v>
      </c>
      <c r="C9" s="38" t="s">
        <v>19</v>
      </c>
      <c r="D9" s="7">
        <f t="shared" si="0"/>
        <v>36</v>
      </c>
      <c r="E9" s="9">
        <v>11</v>
      </c>
      <c r="F9" s="10" t="s">
        <v>20</v>
      </c>
      <c r="G9" s="50" t="s">
        <v>429</v>
      </c>
      <c r="H9" s="36"/>
    </row>
    <row r="10" spans="1:10" ht="14.25" x14ac:dyDescent="0.2">
      <c r="A10" s="7" t="s">
        <v>6</v>
      </c>
      <c r="B10" s="7">
        <v>8</v>
      </c>
      <c r="C10" s="38" t="s">
        <v>21</v>
      </c>
      <c r="D10" s="7">
        <f t="shared" si="0"/>
        <v>47</v>
      </c>
      <c r="E10" s="9">
        <v>15</v>
      </c>
      <c r="F10" s="10" t="s">
        <v>22</v>
      </c>
      <c r="G10" s="45" t="s">
        <v>424</v>
      </c>
      <c r="J10" s="45" t="s">
        <v>426</v>
      </c>
    </row>
    <row r="11" spans="1:10" x14ac:dyDescent="0.2">
      <c r="A11" s="7" t="s">
        <v>6</v>
      </c>
      <c r="B11" s="7">
        <v>9</v>
      </c>
      <c r="C11" s="47" t="s">
        <v>23</v>
      </c>
      <c r="D11" s="7">
        <f t="shared" si="0"/>
        <v>62</v>
      </c>
      <c r="E11" s="9">
        <v>15</v>
      </c>
      <c r="F11" s="10" t="s">
        <v>24</v>
      </c>
      <c r="G11" s="45" t="s">
        <v>424</v>
      </c>
      <c r="H11" s="36"/>
      <c r="J11" s="45" t="s">
        <v>426</v>
      </c>
    </row>
    <row r="12" spans="1:10" ht="14.25" x14ac:dyDescent="0.2">
      <c r="A12" s="7" t="s">
        <v>6</v>
      </c>
      <c r="B12" s="7">
        <v>10</v>
      </c>
      <c r="C12" s="38" t="s">
        <v>25</v>
      </c>
      <c r="D12" s="7">
        <f t="shared" si="0"/>
        <v>77</v>
      </c>
      <c r="E12" s="7">
        <v>20</v>
      </c>
      <c r="F12" s="10" t="s">
        <v>26</v>
      </c>
      <c r="G12" s="46" t="s">
        <v>425</v>
      </c>
      <c r="H12" s="36"/>
      <c r="J12" s="45" t="s">
        <v>427</v>
      </c>
    </row>
    <row r="13" spans="1:10" ht="132" x14ac:dyDescent="0.2">
      <c r="A13" s="7" t="s">
        <v>6</v>
      </c>
      <c r="B13" s="7">
        <v>11</v>
      </c>
      <c r="C13" s="8" t="s">
        <v>27</v>
      </c>
      <c r="D13" s="7">
        <f t="shared" si="0"/>
        <v>97</v>
      </c>
      <c r="E13" s="7">
        <v>1</v>
      </c>
      <c r="F13" s="10" t="s">
        <v>28</v>
      </c>
      <c r="G13" s="46" t="s">
        <v>352</v>
      </c>
      <c r="H13" s="36" t="s">
        <v>353</v>
      </c>
      <c r="I13" s="39" t="s">
        <v>400</v>
      </c>
      <c r="J13" s="45" t="s">
        <v>428</v>
      </c>
    </row>
    <row r="14" spans="1:10" ht="36" x14ac:dyDescent="0.2">
      <c r="A14" s="7" t="s">
        <v>6</v>
      </c>
      <c r="B14" s="7">
        <v>12</v>
      </c>
      <c r="C14" s="8" t="s">
        <v>29</v>
      </c>
      <c r="D14" s="7">
        <f t="shared" si="0"/>
        <v>98</v>
      </c>
      <c r="E14" s="7">
        <v>4</v>
      </c>
      <c r="F14" s="10" t="s">
        <v>30</v>
      </c>
      <c r="G14" s="55" t="s">
        <v>449</v>
      </c>
      <c r="H14" s="56"/>
    </row>
    <row r="15" spans="1:10" ht="36" x14ac:dyDescent="0.2">
      <c r="A15" s="7" t="s">
        <v>6</v>
      </c>
      <c r="B15" s="7">
        <v>13</v>
      </c>
      <c r="C15" s="8" t="s">
        <v>31</v>
      </c>
      <c r="D15" s="7">
        <f t="shared" si="0"/>
        <v>102</v>
      </c>
      <c r="E15" s="7">
        <v>4</v>
      </c>
      <c r="F15" s="10" t="s">
        <v>32</v>
      </c>
      <c r="G15" s="57" t="s">
        <v>354</v>
      </c>
      <c r="H15" s="56" t="s">
        <v>355</v>
      </c>
    </row>
    <row r="16" spans="1:10" x14ac:dyDescent="0.2">
      <c r="A16" s="7" t="s">
        <v>6</v>
      </c>
      <c r="B16" s="7">
        <v>14</v>
      </c>
      <c r="C16" s="8" t="s">
        <v>16</v>
      </c>
      <c r="D16" s="7">
        <f t="shared" si="0"/>
        <v>106</v>
      </c>
      <c r="E16" s="7">
        <v>1</v>
      </c>
      <c r="F16" s="10" t="s">
        <v>18</v>
      </c>
      <c r="G16" s="35" t="s">
        <v>345</v>
      </c>
      <c r="H16" s="36"/>
    </row>
    <row r="17" spans="1:10" x14ac:dyDescent="0.2">
      <c r="A17" s="7" t="s">
        <v>6</v>
      </c>
      <c r="B17" s="7">
        <v>15</v>
      </c>
      <c r="C17" s="8" t="s">
        <v>16</v>
      </c>
      <c r="D17" s="7">
        <f t="shared" si="0"/>
        <v>107</v>
      </c>
      <c r="E17" s="7">
        <v>1</v>
      </c>
      <c r="F17" s="10" t="s">
        <v>18</v>
      </c>
      <c r="G17" s="35" t="s">
        <v>345</v>
      </c>
      <c r="H17" s="36"/>
    </row>
    <row r="18" spans="1:10" ht="14.25" x14ac:dyDescent="0.2">
      <c r="A18" s="7" t="s">
        <v>6</v>
      </c>
      <c r="B18" s="7">
        <v>16</v>
      </c>
      <c r="C18" s="8" t="s">
        <v>33</v>
      </c>
      <c r="D18" s="7">
        <f t="shared" si="0"/>
        <v>108</v>
      </c>
      <c r="E18" s="7">
        <v>8</v>
      </c>
      <c r="F18" s="10" t="s">
        <v>34</v>
      </c>
      <c r="G18" s="41" t="s">
        <v>450</v>
      </c>
      <c r="H18" s="36"/>
      <c r="J18" t="s">
        <v>430</v>
      </c>
    </row>
    <row r="19" spans="1:10" x14ac:dyDescent="0.2">
      <c r="A19" s="7" t="s">
        <v>6</v>
      </c>
      <c r="B19" s="7">
        <v>17</v>
      </c>
      <c r="C19" s="8" t="s">
        <v>16</v>
      </c>
      <c r="D19" s="7">
        <f t="shared" si="0"/>
        <v>116</v>
      </c>
      <c r="E19" s="7">
        <v>1</v>
      </c>
      <c r="F19" s="10" t="s">
        <v>18</v>
      </c>
      <c r="G19" s="35" t="s">
        <v>345</v>
      </c>
      <c r="H19" s="36"/>
    </row>
    <row r="20" spans="1:10" x14ac:dyDescent="0.2">
      <c r="A20" s="7" t="s">
        <v>6</v>
      </c>
      <c r="B20" s="7">
        <v>18</v>
      </c>
      <c r="C20" s="8" t="s">
        <v>16</v>
      </c>
      <c r="D20" s="7">
        <f t="shared" si="0"/>
        <v>117</v>
      </c>
      <c r="E20" s="9">
        <v>2</v>
      </c>
      <c r="F20" s="10" t="s">
        <v>18</v>
      </c>
      <c r="G20" s="35" t="s">
        <v>345</v>
      </c>
      <c r="H20" s="36"/>
    </row>
    <row r="21" spans="1:10" ht="57" x14ac:dyDescent="0.2">
      <c r="A21" s="7" t="s">
        <v>6</v>
      </c>
      <c r="B21" s="7">
        <v>19</v>
      </c>
      <c r="C21" s="8" t="s">
        <v>35</v>
      </c>
      <c r="D21" s="7">
        <f t="shared" si="0"/>
        <v>119</v>
      </c>
      <c r="E21" s="7">
        <v>8</v>
      </c>
      <c r="F21" s="51" t="s">
        <v>36</v>
      </c>
      <c r="G21" s="58" t="s">
        <v>345</v>
      </c>
      <c r="H21" s="59"/>
    </row>
    <row r="22" spans="1:10" x14ac:dyDescent="0.2">
      <c r="A22" s="7" t="s">
        <v>6</v>
      </c>
      <c r="B22" s="7">
        <v>20</v>
      </c>
      <c r="C22" s="8" t="s">
        <v>16</v>
      </c>
      <c r="D22" s="7">
        <f t="shared" si="0"/>
        <v>127</v>
      </c>
      <c r="E22" s="7">
        <v>1</v>
      </c>
      <c r="F22" s="10" t="s">
        <v>18</v>
      </c>
      <c r="G22" s="35" t="s">
        <v>345</v>
      </c>
    </row>
    <row r="23" spans="1:10" x14ac:dyDescent="0.2">
      <c r="A23" s="7" t="s">
        <v>6</v>
      </c>
      <c r="B23" s="7">
        <v>21</v>
      </c>
      <c r="C23" s="8" t="s">
        <v>37</v>
      </c>
      <c r="D23" s="7">
        <f t="shared" si="0"/>
        <v>128</v>
      </c>
      <c r="E23" s="7">
        <v>75</v>
      </c>
      <c r="F23" s="10" t="s">
        <v>38</v>
      </c>
      <c r="G23" t="s">
        <v>358</v>
      </c>
      <c r="H23" s="39" t="s">
        <v>357</v>
      </c>
      <c r="J23" t="s">
        <v>432</v>
      </c>
    </row>
    <row r="24" spans="1:10" x14ac:dyDescent="0.2">
      <c r="A24" s="7" t="s">
        <v>6</v>
      </c>
      <c r="B24" s="7">
        <v>22</v>
      </c>
      <c r="C24" s="8" t="s">
        <v>39</v>
      </c>
      <c r="D24" s="7">
        <f t="shared" si="0"/>
        <v>203</v>
      </c>
      <c r="E24" s="7">
        <v>75</v>
      </c>
      <c r="F24" s="10" t="s">
        <v>40</v>
      </c>
      <c r="G24" t="s">
        <v>359</v>
      </c>
    </row>
    <row r="25" spans="1:10" x14ac:dyDescent="0.2">
      <c r="A25" s="7" t="s">
        <v>6</v>
      </c>
      <c r="B25" s="7">
        <v>23</v>
      </c>
      <c r="C25" s="8" t="s">
        <v>41</v>
      </c>
      <c r="D25" s="7">
        <f t="shared" si="0"/>
        <v>278</v>
      </c>
      <c r="E25" s="7">
        <v>16</v>
      </c>
      <c r="F25" s="10" t="s">
        <v>42</v>
      </c>
      <c r="G25" t="s">
        <v>360</v>
      </c>
      <c r="J25" s="45" t="s">
        <v>433</v>
      </c>
    </row>
    <row r="26" spans="1:10" ht="36" x14ac:dyDescent="0.2">
      <c r="A26" s="7" t="s">
        <v>6</v>
      </c>
      <c r="B26" s="7">
        <v>24</v>
      </c>
      <c r="C26" s="8" t="s">
        <v>43</v>
      </c>
      <c r="D26" s="7">
        <f t="shared" si="0"/>
        <v>294</v>
      </c>
      <c r="E26" s="7">
        <v>5</v>
      </c>
      <c r="F26" s="10" t="s">
        <v>44</v>
      </c>
      <c r="G26" t="s">
        <v>361</v>
      </c>
      <c r="J26" s="45" t="s">
        <v>434</v>
      </c>
    </row>
    <row r="27" spans="1:10" ht="36" x14ac:dyDescent="0.2">
      <c r="A27" s="7" t="s">
        <v>6</v>
      </c>
      <c r="B27" s="7">
        <v>25</v>
      </c>
      <c r="C27" s="8" t="s">
        <v>45</v>
      </c>
      <c r="D27" s="7">
        <f t="shared" si="0"/>
        <v>299</v>
      </c>
      <c r="E27" s="7">
        <v>4</v>
      </c>
      <c r="F27" s="10" t="s">
        <v>46</v>
      </c>
      <c r="G27" t="s">
        <v>372</v>
      </c>
      <c r="J27" s="45" t="s">
        <v>435</v>
      </c>
    </row>
    <row r="28" spans="1:10" x14ac:dyDescent="0.2">
      <c r="A28" s="7" t="s">
        <v>6</v>
      </c>
      <c r="B28" s="7">
        <v>26</v>
      </c>
      <c r="C28" s="8" t="s">
        <v>47</v>
      </c>
      <c r="D28" s="7">
        <f t="shared" si="0"/>
        <v>303</v>
      </c>
      <c r="E28" s="7">
        <v>75</v>
      </c>
      <c r="F28" s="10" t="s">
        <v>48</v>
      </c>
      <c r="G28" t="s">
        <v>362</v>
      </c>
      <c r="J28" t="s">
        <v>431</v>
      </c>
    </row>
    <row r="29" spans="1:10" x14ac:dyDescent="0.2">
      <c r="A29" s="7" t="s">
        <v>6</v>
      </c>
      <c r="B29" s="7">
        <v>27</v>
      </c>
      <c r="C29" s="8" t="s">
        <v>49</v>
      </c>
      <c r="D29" s="7">
        <f t="shared" si="0"/>
        <v>378</v>
      </c>
      <c r="E29" s="7">
        <v>75</v>
      </c>
      <c r="F29" s="10" t="s">
        <v>50</v>
      </c>
      <c r="G29" t="s">
        <v>363</v>
      </c>
      <c r="J29" s="45"/>
    </row>
    <row r="30" spans="1:10" x14ac:dyDescent="0.2">
      <c r="A30" s="7" t="s">
        <v>6</v>
      </c>
      <c r="B30" s="7">
        <v>28</v>
      </c>
      <c r="C30" s="8" t="s">
        <v>51</v>
      </c>
      <c r="D30" s="7">
        <f t="shared" si="0"/>
        <v>453</v>
      </c>
      <c r="E30" s="7">
        <v>16</v>
      </c>
      <c r="F30" s="10" t="s">
        <v>52</v>
      </c>
      <c r="G30" t="s">
        <v>364</v>
      </c>
      <c r="J30" s="45" t="s">
        <v>436</v>
      </c>
    </row>
    <row r="31" spans="1:10" ht="36" x14ac:dyDescent="0.2">
      <c r="A31" s="7" t="s">
        <v>6</v>
      </c>
      <c r="B31" s="7">
        <v>29</v>
      </c>
      <c r="C31" s="8" t="s">
        <v>53</v>
      </c>
      <c r="D31" s="7">
        <f t="shared" si="0"/>
        <v>469</v>
      </c>
      <c r="E31" s="7">
        <v>5</v>
      </c>
      <c r="F31" s="10" t="s">
        <v>54</v>
      </c>
      <c r="G31" t="s">
        <v>365</v>
      </c>
      <c r="J31" s="45" t="s">
        <v>437</v>
      </c>
    </row>
    <row r="32" spans="1:10" ht="36" x14ac:dyDescent="0.2">
      <c r="A32" s="7" t="s">
        <v>6</v>
      </c>
      <c r="B32" s="7">
        <v>30</v>
      </c>
      <c r="C32" s="8" t="s">
        <v>55</v>
      </c>
      <c r="D32" s="7">
        <f t="shared" si="0"/>
        <v>474</v>
      </c>
      <c r="E32" s="7">
        <v>4</v>
      </c>
      <c r="F32" s="10" t="s">
        <v>56</v>
      </c>
      <c r="G32" s="41"/>
      <c r="J32" s="45" t="s">
        <v>438</v>
      </c>
    </row>
    <row r="33" spans="1:10" ht="38.25" x14ac:dyDescent="0.2">
      <c r="A33" s="7" t="s">
        <v>6</v>
      </c>
      <c r="B33" s="7">
        <v>31</v>
      </c>
      <c r="C33" s="8" t="s">
        <v>57</v>
      </c>
      <c r="D33" s="7">
        <f t="shared" si="0"/>
        <v>478</v>
      </c>
      <c r="E33" s="7">
        <v>10</v>
      </c>
      <c r="F33" s="10" t="s">
        <v>58</v>
      </c>
      <c r="G33" t="s">
        <v>366</v>
      </c>
      <c r="H33" s="39" t="s">
        <v>367</v>
      </c>
      <c r="J33" t="s">
        <v>439</v>
      </c>
    </row>
    <row r="34" spans="1:10" x14ac:dyDescent="0.2">
      <c r="A34" s="7" t="s">
        <v>6</v>
      </c>
      <c r="B34" s="7">
        <v>32</v>
      </c>
      <c r="C34" s="8" t="s">
        <v>16</v>
      </c>
      <c r="D34" s="7">
        <f t="shared" si="0"/>
        <v>488</v>
      </c>
      <c r="E34" s="7">
        <v>2</v>
      </c>
      <c r="F34" s="10" t="s">
        <v>18</v>
      </c>
      <c r="G34" s="35" t="s">
        <v>345</v>
      </c>
    </row>
    <row r="35" spans="1:10" x14ac:dyDescent="0.2">
      <c r="A35" s="7" t="s">
        <v>6</v>
      </c>
      <c r="B35" s="7">
        <v>33</v>
      </c>
      <c r="C35" s="8" t="s">
        <v>16</v>
      </c>
      <c r="D35" s="7">
        <f t="shared" si="0"/>
        <v>490</v>
      </c>
      <c r="E35" s="7">
        <v>20</v>
      </c>
      <c r="F35" s="10" t="s">
        <v>18</v>
      </c>
      <c r="G35" s="35" t="s">
        <v>345</v>
      </c>
    </row>
    <row r="36" spans="1:10" x14ac:dyDescent="0.2">
      <c r="A36" s="7" t="s">
        <v>6</v>
      </c>
      <c r="B36" s="7">
        <v>34</v>
      </c>
      <c r="C36" s="8" t="s">
        <v>16</v>
      </c>
      <c r="D36" s="7">
        <f t="shared" si="0"/>
        <v>510</v>
      </c>
      <c r="E36" s="7">
        <v>2</v>
      </c>
      <c r="F36" s="10" t="s">
        <v>18</v>
      </c>
      <c r="G36" s="35" t="s">
        <v>345</v>
      </c>
    </row>
    <row r="37" spans="1:10" x14ac:dyDescent="0.2">
      <c r="A37" s="7" t="s">
        <v>6</v>
      </c>
      <c r="B37" s="7">
        <v>35</v>
      </c>
      <c r="C37" s="8" t="s">
        <v>16</v>
      </c>
      <c r="D37" s="7">
        <f t="shared" si="0"/>
        <v>512</v>
      </c>
      <c r="E37" s="7">
        <v>20</v>
      </c>
      <c r="F37" s="10" t="s">
        <v>18</v>
      </c>
      <c r="G37" s="35" t="s">
        <v>345</v>
      </c>
    </row>
    <row r="38" spans="1:10" x14ac:dyDescent="0.2">
      <c r="A38" s="7" t="s">
        <v>6</v>
      </c>
      <c r="B38" s="7">
        <v>36</v>
      </c>
      <c r="C38" s="8" t="s">
        <v>16</v>
      </c>
      <c r="D38" s="7">
        <f t="shared" si="0"/>
        <v>532</v>
      </c>
      <c r="E38" s="7">
        <v>2</v>
      </c>
      <c r="F38" s="10" t="s">
        <v>18</v>
      </c>
      <c r="G38" s="35" t="s">
        <v>345</v>
      </c>
    </row>
    <row r="39" spans="1:10" x14ac:dyDescent="0.2">
      <c r="A39" s="7" t="s">
        <v>6</v>
      </c>
      <c r="B39" s="7">
        <v>37</v>
      </c>
      <c r="C39" s="8" t="s">
        <v>16</v>
      </c>
      <c r="D39" s="7">
        <f t="shared" si="0"/>
        <v>534</v>
      </c>
      <c r="E39" s="7">
        <v>20</v>
      </c>
      <c r="F39" s="10" t="s">
        <v>18</v>
      </c>
      <c r="G39" s="35" t="s">
        <v>345</v>
      </c>
    </row>
    <row r="40" spans="1:10" x14ac:dyDescent="0.2">
      <c r="A40" s="7" t="s">
        <v>6</v>
      </c>
      <c r="B40" s="7">
        <v>38</v>
      </c>
      <c r="C40" s="8" t="s">
        <v>16</v>
      </c>
      <c r="D40" s="7">
        <f t="shared" si="0"/>
        <v>554</v>
      </c>
      <c r="E40" s="9">
        <v>2</v>
      </c>
      <c r="F40" s="10" t="s">
        <v>18</v>
      </c>
      <c r="G40" s="35" t="s">
        <v>345</v>
      </c>
    </row>
    <row r="41" spans="1:10" x14ac:dyDescent="0.2">
      <c r="A41" s="7" t="s">
        <v>6</v>
      </c>
      <c r="B41" s="7">
        <v>39</v>
      </c>
      <c r="C41" s="8" t="s">
        <v>16</v>
      </c>
      <c r="D41" s="7">
        <f t="shared" si="0"/>
        <v>556</v>
      </c>
      <c r="E41" s="7">
        <v>2</v>
      </c>
      <c r="F41" s="10" t="s">
        <v>18</v>
      </c>
      <c r="G41" s="35" t="s">
        <v>345</v>
      </c>
    </row>
    <row r="42" spans="1:10" x14ac:dyDescent="0.2">
      <c r="A42" s="7" t="s">
        <v>6</v>
      </c>
      <c r="B42" s="7">
        <v>40</v>
      </c>
      <c r="C42" s="8" t="s">
        <v>16</v>
      </c>
      <c r="D42" s="7">
        <f t="shared" si="0"/>
        <v>558</v>
      </c>
      <c r="E42" s="7">
        <v>6</v>
      </c>
      <c r="F42" s="10" t="s">
        <v>18</v>
      </c>
      <c r="G42" s="35" t="s">
        <v>345</v>
      </c>
    </row>
    <row r="43" spans="1:10" x14ac:dyDescent="0.2">
      <c r="A43" s="7" t="s">
        <v>6</v>
      </c>
      <c r="B43" s="7">
        <v>41</v>
      </c>
      <c r="C43" s="8" t="s">
        <v>16</v>
      </c>
      <c r="D43" s="7">
        <f t="shared" si="0"/>
        <v>564</v>
      </c>
      <c r="E43" s="7">
        <v>8</v>
      </c>
      <c r="F43" s="10" t="s">
        <v>18</v>
      </c>
      <c r="G43" s="35" t="s">
        <v>345</v>
      </c>
    </row>
    <row r="44" spans="1:10" x14ac:dyDescent="0.2">
      <c r="A44" s="7" t="s">
        <v>6</v>
      </c>
      <c r="B44" s="7">
        <v>42</v>
      </c>
      <c r="C44" s="8" t="s">
        <v>16</v>
      </c>
      <c r="D44" s="7">
        <f t="shared" si="0"/>
        <v>572</v>
      </c>
      <c r="E44" s="9">
        <v>3</v>
      </c>
      <c r="F44" s="10" t="s">
        <v>18</v>
      </c>
      <c r="G44" s="35" t="s">
        <v>345</v>
      </c>
    </row>
    <row r="45" spans="1:10" x14ac:dyDescent="0.2">
      <c r="A45" s="9" t="s">
        <v>6</v>
      </c>
      <c r="B45" s="9">
        <v>43</v>
      </c>
      <c r="C45" s="8" t="s">
        <v>16</v>
      </c>
      <c r="D45" s="7">
        <f t="shared" si="0"/>
        <v>575</v>
      </c>
      <c r="E45" s="9">
        <v>1</v>
      </c>
      <c r="F45" s="10" t="s">
        <v>18</v>
      </c>
      <c r="G45" s="35" t="s">
        <v>345</v>
      </c>
    </row>
    <row r="46" spans="1:10" x14ac:dyDescent="0.2">
      <c r="A46" s="9" t="s">
        <v>6</v>
      </c>
      <c r="B46" s="9">
        <v>44</v>
      </c>
      <c r="C46" s="12" t="s">
        <v>59</v>
      </c>
      <c r="D46" s="7">
        <f t="shared" si="0"/>
        <v>576</v>
      </c>
      <c r="E46" s="9">
        <v>2</v>
      </c>
      <c r="F46" s="10" t="s">
        <v>60</v>
      </c>
      <c r="G46" s="35" t="s">
        <v>345</v>
      </c>
    </row>
    <row r="47" spans="1:10" ht="199.5" x14ac:dyDescent="0.2">
      <c r="A47" s="9" t="s">
        <v>6</v>
      </c>
      <c r="B47" s="9">
        <v>45</v>
      </c>
      <c r="C47" s="12" t="s">
        <v>61</v>
      </c>
      <c r="D47" s="7">
        <f t="shared" si="0"/>
        <v>578</v>
      </c>
      <c r="E47" s="9">
        <v>2</v>
      </c>
      <c r="F47" s="43" t="s">
        <v>62</v>
      </c>
      <c r="G47" s="60" t="s">
        <v>369</v>
      </c>
      <c r="H47" s="59" t="s">
        <v>368</v>
      </c>
      <c r="I47" s="59" t="s">
        <v>401</v>
      </c>
      <c r="J47" s="45" t="s">
        <v>440</v>
      </c>
    </row>
    <row r="48" spans="1:10" x14ac:dyDescent="0.2">
      <c r="A48" s="7" t="s">
        <v>6</v>
      </c>
      <c r="B48" s="7">
        <v>46</v>
      </c>
      <c r="C48" s="8" t="s">
        <v>63</v>
      </c>
      <c r="D48" s="7">
        <f t="shared" si="0"/>
        <v>580</v>
      </c>
      <c r="E48" s="9">
        <v>2</v>
      </c>
      <c r="F48" s="61" t="s">
        <v>64</v>
      </c>
      <c r="G48" s="60" t="s">
        <v>370</v>
      </c>
      <c r="H48" s="62" t="s">
        <v>442</v>
      </c>
      <c r="J48" s="45" t="s">
        <v>441</v>
      </c>
    </row>
    <row r="49" spans="1:10" ht="96" x14ac:dyDescent="0.2">
      <c r="A49" s="9" t="s">
        <v>6</v>
      </c>
      <c r="B49" s="9">
        <v>47</v>
      </c>
      <c r="C49" s="12" t="s">
        <v>65</v>
      </c>
      <c r="D49" s="7">
        <f t="shared" si="0"/>
        <v>582</v>
      </c>
      <c r="E49" s="9">
        <v>8</v>
      </c>
      <c r="F49" s="10" t="s">
        <v>66</v>
      </c>
      <c r="G49" t="s">
        <v>356</v>
      </c>
      <c r="J49" s="45" t="s">
        <v>443</v>
      </c>
    </row>
    <row r="50" spans="1:10" ht="132" x14ac:dyDescent="0.2">
      <c r="A50" s="7" t="s">
        <v>6</v>
      </c>
      <c r="B50" s="7">
        <v>48</v>
      </c>
      <c r="C50" s="8" t="s">
        <v>67</v>
      </c>
      <c r="D50" s="7">
        <f t="shared" si="0"/>
        <v>590</v>
      </c>
      <c r="E50" s="9">
        <v>8</v>
      </c>
      <c r="F50" s="10" t="s">
        <v>68</v>
      </c>
      <c r="G50" t="s">
        <v>371</v>
      </c>
      <c r="J50" t="s">
        <v>444</v>
      </c>
    </row>
    <row r="51" spans="1:10" x14ac:dyDescent="0.2">
      <c r="A51" s="7" t="s">
        <v>6</v>
      </c>
      <c r="B51" s="7">
        <v>49</v>
      </c>
      <c r="C51" s="8" t="s">
        <v>16</v>
      </c>
      <c r="D51" s="7">
        <f t="shared" si="0"/>
        <v>598</v>
      </c>
      <c r="E51" s="7">
        <v>3</v>
      </c>
      <c r="F51" s="10" t="s">
        <v>69</v>
      </c>
      <c r="G51" s="35" t="s">
        <v>345</v>
      </c>
    </row>
    <row r="52" spans="1:10" x14ac:dyDescent="0.2">
      <c r="A52" s="7" t="s">
        <v>6</v>
      </c>
      <c r="B52" s="7">
        <v>50</v>
      </c>
      <c r="C52" s="8" t="s">
        <v>16</v>
      </c>
      <c r="D52" s="7">
        <f t="shared" si="0"/>
        <v>601</v>
      </c>
      <c r="E52" s="9">
        <v>3</v>
      </c>
      <c r="F52" s="10" t="s">
        <v>69</v>
      </c>
      <c r="G52" s="35" t="s">
        <v>345</v>
      </c>
    </row>
    <row r="53" spans="1:10" x14ac:dyDescent="0.2">
      <c r="A53" s="7" t="s">
        <v>6</v>
      </c>
      <c r="B53" s="7">
        <v>51</v>
      </c>
      <c r="C53" s="8" t="s">
        <v>70</v>
      </c>
      <c r="D53" s="7">
        <f t="shared" si="0"/>
        <v>604</v>
      </c>
      <c r="E53" s="9">
        <v>9</v>
      </c>
      <c r="F53" s="10" t="s">
        <v>71</v>
      </c>
      <c r="G53" s="35" t="s">
        <v>345</v>
      </c>
    </row>
    <row r="54" spans="1:10" x14ac:dyDescent="0.2">
      <c r="A54" s="7" t="s">
        <v>6</v>
      </c>
      <c r="B54" s="7">
        <v>52</v>
      </c>
      <c r="C54" s="8" t="s">
        <v>72</v>
      </c>
      <c r="D54" s="7">
        <f t="shared" si="0"/>
        <v>613</v>
      </c>
      <c r="E54" s="9">
        <v>2</v>
      </c>
      <c r="F54" s="10" t="s">
        <v>73</v>
      </c>
      <c r="G54" s="63" t="s">
        <v>370</v>
      </c>
      <c r="H54" s="59"/>
    </row>
    <row r="55" spans="1:10" x14ac:dyDescent="0.2">
      <c r="A55" s="9" t="s">
        <v>6</v>
      </c>
      <c r="B55" s="9">
        <v>53</v>
      </c>
      <c r="C55" s="12" t="s">
        <v>74</v>
      </c>
      <c r="D55" s="7">
        <f t="shared" si="0"/>
        <v>615</v>
      </c>
      <c r="E55" s="9">
        <v>9</v>
      </c>
      <c r="F55" s="10" t="s">
        <v>75</v>
      </c>
      <c r="G55" s="35" t="s">
        <v>345</v>
      </c>
    </row>
    <row r="56" spans="1:10" ht="84" x14ac:dyDescent="0.2">
      <c r="A56" s="9" t="s">
        <v>6</v>
      </c>
      <c r="B56" s="9">
        <v>54</v>
      </c>
      <c r="C56" s="12" t="s">
        <v>76</v>
      </c>
      <c r="D56" s="7">
        <f t="shared" si="0"/>
        <v>624</v>
      </c>
      <c r="E56" s="9">
        <v>8</v>
      </c>
      <c r="F56" s="10" t="s">
        <v>77</v>
      </c>
      <c r="G56" s="35" t="s">
        <v>345</v>
      </c>
    </row>
    <row r="57" spans="1:10" ht="48" x14ac:dyDescent="0.2">
      <c r="A57" s="9" t="s">
        <v>6</v>
      </c>
      <c r="B57" s="9">
        <v>55</v>
      </c>
      <c r="C57" s="12" t="s">
        <v>78</v>
      </c>
      <c r="D57" s="7">
        <f t="shared" si="0"/>
        <v>632</v>
      </c>
      <c r="E57" s="9">
        <v>13</v>
      </c>
      <c r="F57" s="13" t="s">
        <v>79</v>
      </c>
      <c r="G57" s="58" t="s">
        <v>345</v>
      </c>
      <c r="H57" s="62"/>
      <c r="I57" s="59"/>
      <c r="J57" s="63" t="s">
        <v>441</v>
      </c>
    </row>
    <row r="58" spans="1:10" x14ac:dyDescent="0.2">
      <c r="A58" s="9" t="s">
        <v>6</v>
      </c>
      <c r="B58" s="9">
        <v>56</v>
      </c>
      <c r="C58" s="12" t="s">
        <v>16</v>
      </c>
      <c r="D58" s="7">
        <f t="shared" si="0"/>
        <v>645</v>
      </c>
      <c r="E58" s="9">
        <v>1</v>
      </c>
      <c r="F58" s="10" t="s">
        <v>69</v>
      </c>
      <c r="G58" s="35" t="s">
        <v>345</v>
      </c>
    </row>
    <row r="59" spans="1:10" ht="84" x14ac:dyDescent="0.2">
      <c r="A59" s="9" t="s">
        <v>6</v>
      </c>
      <c r="B59" s="9">
        <v>57</v>
      </c>
      <c r="C59" s="12" t="s">
        <v>80</v>
      </c>
      <c r="D59" s="7">
        <f t="shared" si="0"/>
        <v>646</v>
      </c>
      <c r="E59" s="9">
        <v>8</v>
      </c>
      <c r="F59" s="10" t="s">
        <v>81</v>
      </c>
      <c r="G59" s="47" t="s">
        <v>356</v>
      </c>
      <c r="J59" s="45" t="s">
        <v>443</v>
      </c>
    </row>
    <row r="60" spans="1:10" ht="84" x14ac:dyDescent="0.2">
      <c r="A60" s="9" t="s">
        <v>6</v>
      </c>
      <c r="B60" s="9">
        <v>58</v>
      </c>
      <c r="C60" s="12" t="s">
        <v>82</v>
      </c>
      <c r="D60" s="7">
        <f t="shared" si="0"/>
        <v>654</v>
      </c>
      <c r="E60" s="9">
        <v>8</v>
      </c>
      <c r="F60" s="10" t="s">
        <v>83</v>
      </c>
      <c r="G60" s="35" t="s">
        <v>345</v>
      </c>
    </row>
    <row r="61" spans="1:10" ht="99.75" x14ac:dyDescent="0.2">
      <c r="A61" s="9" t="s">
        <v>6</v>
      </c>
      <c r="B61" s="9">
        <v>59</v>
      </c>
      <c r="C61" s="12" t="s">
        <v>84</v>
      </c>
      <c r="D61" s="7">
        <f t="shared" si="0"/>
        <v>662</v>
      </c>
      <c r="E61" s="9">
        <v>8</v>
      </c>
      <c r="F61" s="52" t="s">
        <v>85</v>
      </c>
      <c r="G61" s="35" t="s">
        <v>345</v>
      </c>
      <c r="H61" s="42" t="s">
        <v>451</v>
      </c>
    </row>
    <row r="62" spans="1:10" x14ac:dyDescent="0.2">
      <c r="A62" s="9" t="s">
        <v>6</v>
      </c>
      <c r="B62" s="9">
        <v>60</v>
      </c>
      <c r="C62" s="12" t="s">
        <v>86</v>
      </c>
      <c r="D62" s="7">
        <f t="shared" si="0"/>
        <v>670</v>
      </c>
      <c r="E62" s="9">
        <v>2</v>
      </c>
      <c r="F62" s="10" t="s">
        <v>87</v>
      </c>
      <c r="G62" t="s">
        <v>373</v>
      </c>
    </row>
    <row r="63" spans="1:10" x14ac:dyDescent="0.2">
      <c r="A63" s="9" t="s">
        <v>6</v>
      </c>
      <c r="B63" s="9">
        <v>61</v>
      </c>
      <c r="C63" s="12" t="s">
        <v>16</v>
      </c>
      <c r="D63" s="7">
        <f t="shared" si="0"/>
        <v>672</v>
      </c>
      <c r="E63" s="9">
        <v>1</v>
      </c>
      <c r="F63" s="10" t="s">
        <v>69</v>
      </c>
      <c r="G63" s="35" t="s">
        <v>345</v>
      </c>
    </row>
    <row r="64" spans="1:10" x14ac:dyDescent="0.2">
      <c r="A64" s="9" t="s">
        <v>6</v>
      </c>
      <c r="B64" s="9">
        <v>62</v>
      </c>
      <c r="C64" s="12" t="s">
        <v>16</v>
      </c>
      <c r="D64" s="7">
        <f t="shared" si="0"/>
        <v>673</v>
      </c>
      <c r="E64" s="9">
        <v>8</v>
      </c>
      <c r="F64" s="10" t="s">
        <v>69</v>
      </c>
      <c r="G64" s="35" t="s">
        <v>345</v>
      </c>
    </row>
    <row r="65" spans="1:10" x14ac:dyDescent="0.2">
      <c r="A65" s="9" t="s">
        <v>6</v>
      </c>
      <c r="B65" s="9">
        <v>63</v>
      </c>
      <c r="C65" s="12" t="s">
        <v>16</v>
      </c>
      <c r="D65" s="7">
        <f t="shared" si="0"/>
        <v>681</v>
      </c>
      <c r="E65" s="9">
        <v>11</v>
      </c>
      <c r="F65" s="10" t="s">
        <v>69</v>
      </c>
      <c r="G65" s="35" t="s">
        <v>345</v>
      </c>
    </row>
    <row r="66" spans="1:10" x14ac:dyDescent="0.2">
      <c r="A66" s="9" t="s">
        <v>6</v>
      </c>
      <c r="B66" s="9">
        <v>64</v>
      </c>
      <c r="C66" s="12" t="s">
        <v>88</v>
      </c>
      <c r="D66" s="7">
        <f t="shared" si="0"/>
        <v>692</v>
      </c>
      <c r="E66" s="9">
        <v>10</v>
      </c>
      <c r="F66" s="10" t="s">
        <v>452</v>
      </c>
      <c r="G66" s="35" t="s">
        <v>345</v>
      </c>
      <c r="H66" s="59"/>
      <c r="I66" s="59"/>
    </row>
    <row r="67" spans="1:10" ht="204" x14ac:dyDescent="0.2">
      <c r="A67" s="9" t="s">
        <v>6</v>
      </c>
      <c r="B67" s="9">
        <v>65</v>
      </c>
      <c r="C67" s="12" t="s">
        <v>89</v>
      </c>
      <c r="D67" s="7">
        <f t="shared" si="0"/>
        <v>702</v>
      </c>
      <c r="E67" s="9">
        <v>8</v>
      </c>
      <c r="F67" s="10" t="s">
        <v>90</v>
      </c>
      <c r="G67" s="35" t="s">
        <v>345</v>
      </c>
    </row>
    <row r="68" spans="1:10" x14ac:dyDescent="0.2">
      <c r="A68" s="9" t="s">
        <v>6</v>
      </c>
      <c r="B68" s="9">
        <v>66</v>
      </c>
      <c r="C68" s="12" t="s">
        <v>16</v>
      </c>
      <c r="D68" s="7">
        <f t="shared" si="0"/>
        <v>710</v>
      </c>
      <c r="E68" s="9">
        <v>8</v>
      </c>
      <c r="F68" s="10" t="s">
        <v>69</v>
      </c>
      <c r="G68" s="35" t="s">
        <v>345</v>
      </c>
    </row>
    <row r="69" spans="1:10" x14ac:dyDescent="0.2">
      <c r="A69" s="9" t="s">
        <v>6</v>
      </c>
      <c r="B69" s="9">
        <v>67</v>
      </c>
      <c r="C69" s="12" t="s">
        <v>16</v>
      </c>
      <c r="D69" s="7">
        <f t="shared" si="0"/>
        <v>718</v>
      </c>
      <c r="E69" s="9">
        <v>2</v>
      </c>
      <c r="F69" s="10" t="s">
        <v>69</v>
      </c>
      <c r="G69" s="35" t="s">
        <v>345</v>
      </c>
    </row>
    <row r="70" spans="1:10" ht="71.25" x14ac:dyDescent="0.2">
      <c r="A70" s="9" t="s">
        <v>6</v>
      </c>
      <c r="B70" s="9">
        <v>68</v>
      </c>
      <c r="C70" s="12" t="s">
        <v>91</v>
      </c>
      <c r="D70" s="7">
        <f t="shared" si="0"/>
        <v>720</v>
      </c>
      <c r="E70" s="9">
        <v>1</v>
      </c>
      <c r="F70" s="43" t="s">
        <v>92</v>
      </c>
      <c r="G70" t="s">
        <v>374</v>
      </c>
      <c r="H70" s="39" t="s">
        <v>375</v>
      </c>
      <c r="I70" s="39" t="s">
        <v>402</v>
      </c>
    </row>
    <row r="71" spans="1:10" ht="108" x14ac:dyDescent="0.2">
      <c r="A71" s="9" t="s">
        <v>6</v>
      </c>
      <c r="B71" s="9">
        <v>69</v>
      </c>
      <c r="C71" s="12" t="s">
        <v>93</v>
      </c>
      <c r="D71" s="7">
        <f t="shared" si="0"/>
        <v>721</v>
      </c>
      <c r="E71" s="9">
        <v>8</v>
      </c>
      <c r="F71" s="10" t="s">
        <v>94</v>
      </c>
      <c r="G71" s="35" t="s">
        <v>345</v>
      </c>
    </row>
    <row r="72" spans="1:10" ht="48" x14ac:dyDescent="0.2">
      <c r="A72" s="9" t="s">
        <v>6</v>
      </c>
      <c r="B72" s="9">
        <v>70</v>
      </c>
      <c r="C72" s="12" t="s">
        <v>95</v>
      </c>
      <c r="D72" s="7">
        <f t="shared" si="0"/>
        <v>729</v>
      </c>
      <c r="E72" s="9">
        <v>8</v>
      </c>
      <c r="F72" s="10" t="s">
        <v>96</v>
      </c>
      <c r="G72" t="s">
        <v>356</v>
      </c>
      <c r="J72" s="45" t="s">
        <v>443</v>
      </c>
    </row>
    <row r="73" spans="1:10" x14ac:dyDescent="0.2">
      <c r="A73" s="9" t="s">
        <v>6</v>
      </c>
      <c r="B73" s="9">
        <v>71</v>
      </c>
      <c r="C73" s="12" t="s">
        <v>16</v>
      </c>
      <c r="D73" s="7">
        <f t="shared" si="0"/>
        <v>737</v>
      </c>
      <c r="E73" s="9">
        <v>3</v>
      </c>
      <c r="F73" s="10" t="s">
        <v>69</v>
      </c>
      <c r="G73" s="35" t="s">
        <v>345</v>
      </c>
    </row>
    <row r="74" spans="1:10" x14ac:dyDescent="0.2">
      <c r="A74" s="4" t="s">
        <v>97</v>
      </c>
      <c r="B74" s="4"/>
      <c r="C74" s="14" t="s">
        <v>98</v>
      </c>
      <c r="D74" s="4"/>
      <c r="E74" s="4"/>
      <c r="F74" s="6"/>
      <c r="G74" s="39"/>
    </row>
    <row r="75" spans="1:10" x14ac:dyDescent="0.2">
      <c r="A75" s="9" t="s">
        <v>97</v>
      </c>
      <c r="B75" s="9">
        <v>1</v>
      </c>
      <c r="C75" s="12" t="s">
        <v>8</v>
      </c>
      <c r="D75" s="9">
        <v>1</v>
      </c>
      <c r="E75" s="9">
        <v>1</v>
      </c>
      <c r="F75" s="10" t="s">
        <v>99</v>
      </c>
      <c r="G75" s="36" t="s">
        <v>339</v>
      </c>
    </row>
    <row r="76" spans="1:10" ht="120" x14ac:dyDescent="0.2">
      <c r="A76" s="9" t="s">
        <v>97</v>
      </c>
      <c r="B76" s="9">
        <v>2</v>
      </c>
      <c r="C76" s="12" t="s">
        <v>10</v>
      </c>
      <c r="D76" s="9">
        <v>2</v>
      </c>
      <c r="E76" s="9">
        <v>1</v>
      </c>
      <c r="F76" s="10" t="s">
        <v>100</v>
      </c>
      <c r="G76" s="47" t="s">
        <v>398</v>
      </c>
    </row>
    <row r="77" spans="1:10" ht="36" x14ac:dyDescent="0.2">
      <c r="A77" s="9" t="s">
        <v>97</v>
      </c>
      <c r="B77" s="9">
        <v>3</v>
      </c>
      <c r="C77" s="12" t="s">
        <v>12</v>
      </c>
      <c r="D77" s="9">
        <v>3</v>
      </c>
      <c r="E77" s="9">
        <v>8</v>
      </c>
      <c r="F77" s="15" t="s">
        <v>101</v>
      </c>
      <c r="G77" s="36" t="s">
        <v>340</v>
      </c>
      <c r="H77" s="36" t="s">
        <v>341</v>
      </c>
      <c r="J77" s="45" t="s">
        <v>420</v>
      </c>
    </row>
    <row r="78" spans="1:10" ht="51" x14ac:dyDescent="0.2">
      <c r="A78" s="9" t="s">
        <v>97</v>
      </c>
      <c r="B78" s="9">
        <v>4</v>
      </c>
      <c r="C78" s="16" t="s">
        <v>14</v>
      </c>
      <c r="D78" s="9">
        <v>11</v>
      </c>
      <c r="E78" s="9">
        <v>9</v>
      </c>
      <c r="F78" s="10" t="s">
        <v>102</v>
      </c>
      <c r="G78" s="36" t="s">
        <v>342</v>
      </c>
      <c r="H78" s="36" t="s">
        <v>343</v>
      </c>
    </row>
    <row r="79" spans="1:10" x14ac:dyDescent="0.2">
      <c r="A79" s="9" t="s">
        <v>97</v>
      </c>
      <c r="B79" s="9">
        <v>5</v>
      </c>
      <c r="C79" s="12" t="s">
        <v>16</v>
      </c>
      <c r="D79" s="9">
        <v>20</v>
      </c>
      <c r="E79" s="9">
        <v>2</v>
      </c>
      <c r="F79" s="10" t="s">
        <v>17</v>
      </c>
      <c r="G79" s="35" t="s">
        <v>344</v>
      </c>
      <c r="H79" s="36"/>
    </row>
    <row r="80" spans="1:10" x14ac:dyDescent="0.2">
      <c r="A80" s="9" t="s">
        <v>97</v>
      </c>
      <c r="B80" s="9">
        <v>6</v>
      </c>
      <c r="C80" s="12" t="s">
        <v>16</v>
      </c>
      <c r="D80" s="9">
        <v>22</v>
      </c>
      <c r="E80" s="9">
        <v>1</v>
      </c>
      <c r="F80" s="10" t="s">
        <v>69</v>
      </c>
      <c r="G80" s="35" t="s">
        <v>345</v>
      </c>
      <c r="H80" s="36"/>
    </row>
    <row r="81" spans="1:10" x14ac:dyDescent="0.2">
      <c r="A81" s="9" t="s">
        <v>97</v>
      </c>
      <c r="B81" s="9">
        <v>7</v>
      </c>
      <c r="C81" s="12" t="s">
        <v>16</v>
      </c>
      <c r="D81" s="9">
        <v>23</v>
      </c>
      <c r="E81" s="9">
        <v>9</v>
      </c>
      <c r="F81" s="10" t="s">
        <v>69</v>
      </c>
      <c r="G81" s="35" t="s">
        <v>345</v>
      </c>
    </row>
    <row r="82" spans="1:10" x14ac:dyDescent="0.2">
      <c r="A82" s="9" t="s">
        <v>97</v>
      </c>
      <c r="B82" s="9">
        <v>8</v>
      </c>
      <c r="C82" s="12" t="s">
        <v>16</v>
      </c>
      <c r="D82" s="9">
        <v>32</v>
      </c>
      <c r="E82" s="9">
        <v>2</v>
      </c>
      <c r="F82" s="10" t="s">
        <v>103</v>
      </c>
      <c r="G82" s="35" t="s">
        <v>376</v>
      </c>
    </row>
    <row r="83" spans="1:10" x14ac:dyDescent="0.2">
      <c r="A83" s="9" t="s">
        <v>97</v>
      </c>
      <c r="B83" s="9">
        <v>9</v>
      </c>
      <c r="C83" s="12" t="s">
        <v>104</v>
      </c>
      <c r="D83" s="9">
        <v>34</v>
      </c>
      <c r="E83" s="9">
        <v>11</v>
      </c>
      <c r="F83" s="10" t="s">
        <v>105</v>
      </c>
      <c r="G83" s="45" t="s">
        <v>351</v>
      </c>
    </row>
    <row r="84" spans="1:10" x14ac:dyDescent="0.2">
      <c r="A84" s="9" t="s">
        <v>97</v>
      </c>
      <c r="B84" s="9">
        <v>10</v>
      </c>
      <c r="C84" s="12" t="s">
        <v>16</v>
      </c>
      <c r="D84" s="9">
        <v>45</v>
      </c>
      <c r="E84" s="9">
        <v>3</v>
      </c>
      <c r="F84" s="10" t="s">
        <v>18</v>
      </c>
      <c r="G84" s="35" t="s">
        <v>345</v>
      </c>
    </row>
    <row r="85" spans="1:10" ht="25.5" x14ac:dyDescent="0.2">
      <c r="A85" s="9" t="s">
        <v>97</v>
      </c>
      <c r="B85" s="9">
        <v>11</v>
      </c>
      <c r="C85" s="12" t="s">
        <v>106</v>
      </c>
      <c r="D85" s="9">
        <v>48</v>
      </c>
      <c r="E85" s="9">
        <v>15</v>
      </c>
      <c r="F85" s="10" t="s">
        <v>107</v>
      </c>
      <c r="G85" s="37" t="s">
        <v>346</v>
      </c>
      <c r="H85" s="46" t="s">
        <v>422</v>
      </c>
      <c r="J85" s="45" t="s">
        <v>423</v>
      </c>
    </row>
    <row r="86" spans="1:10" ht="25.5" x14ac:dyDescent="0.2">
      <c r="A86" s="9" t="s">
        <v>97</v>
      </c>
      <c r="B86" s="9">
        <v>12</v>
      </c>
      <c r="C86" s="12" t="s">
        <v>108</v>
      </c>
      <c r="D86" s="9">
        <v>63</v>
      </c>
      <c r="E86" s="9">
        <v>15</v>
      </c>
      <c r="F86" s="10" t="s">
        <v>109</v>
      </c>
      <c r="G86" s="37" t="s">
        <v>346</v>
      </c>
      <c r="H86" s="46" t="s">
        <v>422</v>
      </c>
      <c r="J86" s="45" t="s">
        <v>423</v>
      </c>
    </row>
    <row r="87" spans="1:10" x14ac:dyDescent="0.2">
      <c r="A87" s="9" t="s">
        <v>97</v>
      </c>
      <c r="B87" s="9">
        <v>13</v>
      </c>
      <c r="C87" s="12" t="s">
        <v>110</v>
      </c>
      <c r="D87" s="9">
        <v>78</v>
      </c>
      <c r="E87" s="9">
        <v>20</v>
      </c>
      <c r="F87" s="10" t="s">
        <v>111</v>
      </c>
      <c r="G87" s="37" t="s">
        <v>347</v>
      </c>
      <c r="H87" s="36"/>
    </row>
    <row r="88" spans="1:10" x14ac:dyDescent="0.2">
      <c r="A88" s="9" t="s">
        <v>97</v>
      </c>
      <c r="B88" s="9">
        <v>14</v>
      </c>
      <c r="C88" s="12" t="s">
        <v>112</v>
      </c>
      <c r="D88" s="9">
        <v>98</v>
      </c>
      <c r="E88" s="9">
        <v>1</v>
      </c>
      <c r="F88" s="10" t="s">
        <v>113</v>
      </c>
      <c r="G88" s="37" t="s">
        <v>348</v>
      </c>
      <c r="H88" s="36"/>
    </row>
    <row r="89" spans="1:10" x14ac:dyDescent="0.2">
      <c r="A89" s="9" t="s">
        <v>97</v>
      </c>
      <c r="B89" s="9">
        <v>15</v>
      </c>
      <c r="C89" s="12" t="s">
        <v>16</v>
      </c>
      <c r="D89" s="9">
        <v>99</v>
      </c>
      <c r="E89" s="9">
        <v>1</v>
      </c>
      <c r="F89" s="10" t="s">
        <v>114</v>
      </c>
      <c r="G89" s="35" t="s">
        <v>377</v>
      </c>
    </row>
    <row r="90" spans="1:10" ht="84" x14ac:dyDescent="0.2">
      <c r="A90" s="9" t="s">
        <v>97</v>
      </c>
      <c r="B90" s="9">
        <v>16</v>
      </c>
      <c r="C90" s="12" t="s">
        <v>115</v>
      </c>
      <c r="D90" s="9">
        <v>100</v>
      </c>
      <c r="E90" s="9">
        <v>8</v>
      </c>
      <c r="F90" s="10" t="s">
        <v>116</v>
      </c>
      <c r="G90" t="s">
        <v>378</v>
      </c>
      <c r="H90" s="39" t="s">
        <v>379</v>
      </c>
    </row>
    <row r="91" spans="1:10" x14ac:dyDescent="0.2">
      <c r="A91" s="9" t="s">
        <v>97</v>
      </c>
      <c r="B91" s="9">
        <v>17</v>
      </c>
      <c r="C91" s="12" t="s">
        <v>16</v>
      </c>
      <c r="D91" s="9">
        <v>108</v>
      </c>
      <c r="E91" s="9">
        <v>1</v>
      </c>
      <c r="F91" s="10" t="s">
        <v>114</v>
      </c>
      <c r="G91" s="35" t="s">
        <v>377</v>
      </c>
    </row>
    <row r="92" spans="1:10" ht="71.25" x14ac:dyDescent="0.2">
      <c r="A92" s="9" t="s">
        <v>97</v>
      </c>
      <c r="B92" s="9">
        <v>18</v>
      </c>
      <c r="C92" s="12" t="s">
        <v>117</v>
      </c>
      <c r="D92" s="9">
        <v>109</v>
      </c>
      <c r="E92" s="9">
        <v>1</v>
      </c>
      <c r="F92" s="43" t="s">
        <v>118</v>
      </c>
      <c r="G92" t="s">
        <v>374</v>
      </c>
      <c r="H92" s="39" t="s">
        <v>375</v>
      </c>
      <c r="I92" s="39" t="s">
        <v>403</v>
      </c>
    </row>
    <row r="93" spans="1:10" x14ac:dyDescent="0.2">
      <c r="A93" s="9" t="s">
        <v>97</v>
      </c>
      <c r="B93" s="9">
        <v>19</v>
      </c>
      <c r="C93" s="12" t="s">
        <v>16</v>
      </c>
      <c r="D93" s="9">
        <v>110</v>
      </c>
      <c r="E93" s="9">
        <v>1</v>
      </c>
      <c r="F93" s="10" t="s">
        <v>114</v>
      </c>
      <c r="G93" s="35" t="s">
        <v>377</v>
      </c>
    </row>
    <row r="94" spans="1:10" x14ac:dyDescent="0.2">
      <c r="A94" s="9" t="s">
        <v>97</v>
      </c>
      <c r="B94" s="9">
        <v>20</v>
      </c>
      <c r="C94" s="12" t="s">
        <v>16</v>
      </c>
      <c r="D94" s="9">
        <v>111</v>
      </c>
      <c r="E94" s="9">
        <v>1</v>
      </c>
      <c r="F94" s="10" t="s">
        <v>114</v>
      </c>
      <c r="G94" s="35" t="s">
        <v>377</v>
      </c>
    </row>
    <row r="95" spans="1:10" x14ac:dyDescent="0.2">
      <c r="A95" s="9" t="s">
        <v>97</v>
      </c>
      <c r="B95" s="9">
        <v>21</v>
      </c>
      <c r="C95" s="12" t="s">
        <v>16</v>
      </c>
      <c r="D95" s="9">
        <v>112</v>
      </c>
      <c r="E95" s="9">
        <v>1</v>
      </c>
      <c r="F95" s="10" t="s">
        <v>114</v>
      </c>
      <c r="G95" s="35" t="s">
        <v>377</v>
      </c>
    </row>
    <row r="96" spans="1:10" x14ac:dyDescent="0.2">
      <c r="A96" s="9" t="s">
        <v>97</v>
      </c>
      <c r="B96" s="9">
        <v>22</v>
      </c>
      <c r="C96" s="12" t="s">
        <v>16</v>
      </c>
      <c r="D96" s="9">
        <v>113</v>
      </c>
      <c r="E96" s="9">
        <v>1</v>
      </c>
      <c r="F96" s="10" t="s">
        <v>69</v>
      </c>
      <c r="G96" s="35" t="s">
        <v>345</v>
      </c>
    </row>
    <row r="97" spans="1:9" ht="72" x14ac:dyDescent="0.2">
      <c r="A97" s="9" t="s">
        <v>97</v>
      </c>
      <c r="B97" s="9">
        <v>23</v>
      </c>
      <c r="C97" s="12" t="s">
        <v>119</v>
      </c>
      <c r="D97" s="9">
        <v>114</v>
      </c>
      <c r="E97" s="9">
        <v>1</v>
      </c>
      <c r="F97" s="61" t="s">
        <v>120</v>
      </c>
      <c r="G97" s="58" t="s">
        <v>345</v>
      </c>
      <c r="H97" s="59"/>
    </row>
    <row r="98" spans="1:9" x14ac:dyDescent="0.2">
      <c r="A98" s="9" t="s">
        <v>97</v>
      </c>
      <c r="B98" s="9">
        <v>24</v>
      </c>
      <c r="C98" s="12" t="s">
        <v>16</v>
      </c>
      <c r="D98" s="9">
        <v>115</v>
      </c>
      <c r="E98" s="9">
        <v>1</v>
      </c>
      <c r="F98" s="10" t="s">
        <v>69</v>
      </c>
      <c r="G98" s="35" t="s">
        <v>345</v>
      </c>
    </row>
    <row r="99" spans="1:9" x14ac:dyDescent="0.2">
      <c r="A99" s="9" t="s">
        <v>97</v>
      </c>
      <c r="B99" s="9">
        <v>25</v>
      </c>
      <c r="C99" s="12" t="s">
        <v>16</v>
      </c>
      <c r="D99" s="9">
        <v>116</v>
      </c>
      <c r="E99" s="9">
        <v>2</v>
      </c>
      <c r="F99" s="10" t="s">
        <v>121</v>
      </c>
      <c r="G99" s="35" t="s">
        <v>377</v>
      </c>
    </row>
    <row r="100" spans="1:9" x14ac:dyDescent="0.2">
      <c r="A100" s="9" t="s">
        <v>97</v>
      </c>
      <c r="B100" s="9">
        <v>26</v>
      </c>
      <c r="C100" s="12" t="s">
        <v>16</v>
      </c>
      <c r="D100" s="9">
        <v>118</v>
      </c>
      <c r="E100" s="9">
        <v>1</v>
      </c>
      <c r="F100" s="10" t="s">
        <v>114</v>
      </c>
      <c r="G100" s="35" t="s">
        <v>377</v>
      </c>
    </row>
    <row r="101" spans="1:9" x14ac:dyDescent="0.2">
      <c r="A101" s="9" t="s">
        <v>97</v>
      </c>
      <c r="B101" s="9">
        <v>27</v>
      </c>
      <c r="C101" s="12" t="s">
        <v>16</v>
      </c>
      <c r="D101" s="9">
        <v>119</v>
      </c>
      <c r="E101" s="9">
        <v>1</v>
      </c>
      <c r="F101" s="10" t="s">
        <v>114</v>
      </c>
      <c r="G101" s="35" t="s">
        <v>377</v>
      </c>
    </row>
    <row r="102" spans="1:9" x14ac:dyDescent="0.2">
      <c r="A102" s="9" t="s">
        <v>97</v>
      </c>
      <c r="B102" s="9">
        <v>28</v>
      </c>
      <c r="C102" s="12" t="s">
        <v>16</v>
      </c>
      <c r="D102" s="9">
        <v>120</v>
      </c>
      <c r="E102" s="9">
        <v>1</v>
      </c>
      <c r="F102" s="10" t="s">
        <v>114</v>
      </c>
      <c r="G102" s="35" t="s">
        <v>377</v>
      </c>
    </row>
    <row r="103" spans="1:9" x14ac:dyDescent="0.2">
      <c r="A103" s="9" t="s">
        <v>97</v>
      </c>
      <c r="B103" s="9">
        <v>29</v>
      </c>
      <c r="C103" s="12" t="s">
        <v>16</v>
      </c>
      <c r="D103" s="9">
        <v>121</v>
      </c>
      <c r="E103" s="9">
        <v>1</v>
      </c>
      <c r="F103" s="10" t="s">
        <v>114</v>
      </c>
      <c r="G103" s="35" t="s">
        <v>377</v>
      </c>
    </row>
    <row r="104" spans="1:9" ht="99.75" x14ac:dyDescent="0.2">
      <c r="A104" s="9" t="s">
        <v>97</v>
      </c>
      <c r="B104" s="9">
        <v>30</v>
      </c>
      <c r="C104" s="12" t="s">
        <v>122</v>
      </c>
      <c r="D104" s="9">
        <v>122</v>
      </c>
      <c r="E104" s="9">
        <v>1</v>
      </c>
      <c r="F104" s="43" t="s">
        <v>123</v>
      </c>
      <c r="G104" t="s">
        <v>380</v>
      </c>
      <c r="H104" s="39" t="s">
        <v>122</v>
      </c>
      <c r="I104" s="39" t="s">
        <v>404</v>
      </c>
    </row>
    <row r="105" spans="1:9" x14ac:dyDescent="0.2">
      <c r="A105" s="9" t="s">
        <v>97</v>
      </c>
      <c r="B105" s="9">
        <v>31</v>
      </c>
      <c r="C105" s="12" t="s">
        <v>16</v>
      </c>
      <c r="D105" s="9">
        <v>123</v>
      </c>
      <c r="E105" s="9">
        <v>9</v>
      </c>
      <c r="F105" s="10" t="s">
        <v>69</v>
      </c>
      <c r="G105" s="35" t="s">
        <v>345</v>
      </c>
    </row>
    <row r="106" spans="1:9" ht="48" x14ac:dyDescent="0.2">
      <c r="A106" s="9" t="s">
        <v>97</v>
      </c>
      <c r="B106" s="9">
        <v>32</v>
      </c>
      <c r="C106" s="12" t="s">
        <v>124</v>
      </c>
      <c r="D106" s="9">
        <v>132</v>
      </c>
      <c r="E106" s="9">
        <v>1</v>
      </c>
      <c r="F106" s="61" t="s">
        <v>125</v>
      </c>
      <c r="G106" s="58" t="s">
        <v>345</v>
      </c>
    </row>
    <row r="107" spans="1:9" x14ac:dyDescent="0.2">
      <c r="A107" s="9" t="s">
        <v>97</v>
      </c>
      <c r="B107" s="9">
        <v>33</v>
      </c>
      <c r="C107" s="12" t="s">
        <v>16</v>
      </c>
      <c r="D107" s="9">
        <v>133</v>
      </c>
      <c r="E107" s="9">
        <v>1</v>
      </c>
      <c r="F107" s="10" t="s">
        <v>18</v>
      </c>
      <c r="G107" s="35" t="s">
        <v>345</v>
      </c>
    </row>
    <row r="108" spans="1:9" ht="36" x14ac:dyDescent="0.2">
      <c r="A108" s="9" t="s">
        <v>97</v>
      </c>
      <c r="B108" s="9">
        <v>34</v>
      </c>
      <c r="C108" s="12" t="s">
        <v>126</v>
      </c>
      <c r="D108" s="9">
        <v>134</v>
      </c>
      <c r="E108" s="9">
        <v>11</v>
      </c>
      <c r="F108" s="61" t="s">
        <v>127</v>
      </c>
      <c r="G108" s="60" t="s">
        <v>382</v>
      </c>
      <c r="H108" s="59" t="s">
        <v>381</v>
      </c>
    </row>
    <row r="109" spans="1:9" x14ac:dyDescent="0.2">
      <c r="A109" s="9" t="s">
        <v>97</v>
      </c>
      <c r="B109" s="9">
        <v>35</v>
      </c>
      <c r="C109" s="12" t="s">
        <v>16</v>
      </c>
      <c r="D109" s="9">
        <v>145</v>
      </c>
      <c r="E109" s="9">
        <v>1</v>
      </c>
      <c r="F109" s="10" t="s">
        <v>114</v>
      </c>
      <c r="G109" s="35" t="s">
        <v>377</v>
      </c>
    </row>
    <row r="110" spans="1:9" x14ac:dyDescent="0.2">
      <c r="A110" s="9" t="s">
        <v>97</v>
      </c>
      <c r="B110" s="9">
        <v>36</v>
      </c>
      <c r="C110" s="12" t="s">
        <v>16</v>
      </c>
      <c r="D110" s="9">
        <v>146</v>
      </c>
      <c r="E110" s="9">
        <v>1</v>
      </c>
      <c r="F110" s="10" t="s">
        <v>114</v>
      </c>
      <c r="G110" s="35" t="s">
        <v>377</v>
      </c>
    </row>
    <row r="111" spans="1:9" x14ac:dyDescent="0.2">
      <c r="A111" s="9" t="s">
        <v>97</v>
      </c>
      <c r="B111" s="9">
        <v>37</v>
      </c>
      <c r="C111" s="12" t="s">
        <v>16</v>
      </c>
      <c r="D111" s="9">
        <v>147</v>
      </c>
      <c r="E111" s="9">
        <v>1</v>
      </c>
      <c r="F111" s="10" t="s">
        <v>114</v>
      </c>
      <c r="G111" s="35" t="s">
        <v>377</v>
      </c>
    </row>
    <row r="112" spans="1:9" ht="48" x14ac:dyDescent="0.2">
      <c r="A112" s="9" t="s">
        <v>97</v>
      </c>
      <c r="B112" s="9">
        <v>38</v>
      </c>
      <c r="C112" s="12" t="s">
        <v>128</v>
      </c>
      <c r="D112" s="9">
        <v>148</v>
      </c>
      <c r="E112" s="9">
        <v>1</v>
      </c>
      <c r="F112" s="10" t="s">
        <v>129</v>
      </c>
      <c r="G112" s="42" t="s">
        <v>414</v>
      </c>
      <c r="H112" s="59"/>
    </row>
    <row r="113" spans="1:10" ht="36" x14ac:dyDescent="0.2">
      <c r="A113" s="9" t="s">
        <v>97</v>
      </c>
      <c r="B113" s="9">
        <v>39</v>
      </c>
      <c r="C113" s="12" t="s">
        <v>130</v>
      </c>
      <c r="D113" s="9">
        <v>149</v>
      </c>
      <c r="E113" s="9">
        <v>2</v>
      </c>
      <c r="F113" s="61" t="s">
        <v>131</v>
      </c>
      <c r="G113" s="60" t="s">
        <v>369</v>
      </c>
      <c r="H113" s="59" t="s">
        <v>368</v>
      </c>
    </row>
    <row r="114" spans="1:10" x14ac:dyDescent="0.2">
      <c r="A114" s="9" t="s">
        <v>97</v>
      </c>
      <c r="B114" s="9">
        <v>40</v>
      </c>
      <c r="C114" s="12" t="s">
        <v>16</v>
      </c>
      <c r="D114" s="9">
        <v>151</v>
      </c>
      <c r="E114" s="9">
        <v>2</v>
      </c>
      <c r="F114" s="10" t="s">
        <v>69</v>
      </c>
      <c r="G114" s="35" t="s">
        <v>345</v>
      </c>
    </row>
    <row r="115" spans="1:10" ht="60" x14ac:dyDescent="0.2">
      <c r="A115" s="9" t="s">
        <v>97</v>
      </c>
      <c r="B115" s="9">
        <v>41</v>
      </c>
      <c r="C115" s="12" t="s">
        <v>132</v>
      </c>
      <c r="D115" s="9">
        <v>153</v>
      </c>
      <c r="E115" s="9">
        <v>10</v>
      </c>
      <c r="F115" s="10" t="s">
        <v>133</v>
      </c>
      <c r="G115" s="35" t="s">
        <v>345</v>
      </c>
    </row>
    <row r="116" spans="1:10" ht="60" x14ac:dyDescent="0.2">
      <c r="A116" s="9" t="s">
        <v>97</v>
      </c>
      <c r="B116" s="9">
        <v>42</v>
      </c>
      <c r="C116" s="12" t="s">
        <v>134</v>
      </c>
      <c r="D116" s="9">
        <f t="shared" ref="D116:D163" si="1">SUM(D115:E115)</f>
        <v>163</v>
      </c>
      <c r="E116" s="9">
        <v>10</v>
      </c>
      <c r="F116" s="10" t="s">
        <v>135</v>
      </c>
      <c r="G116" s="35" t="s">
        <v>345</v>
      </c>
    </row>
    <row r="117" spans="1:10" ht="96" x14ac:dyDescent="0.2">
      <c r="A117" s="9" t="s">
        <v>97</v>
      </c>
      <c r="B117" s="9">
        <v>43</v>
      </c>
      <c r="C117" s="12" t="s">
        <v>136</v>
      </c>
      <c r="D117" s="9">
        <f t="shared" si="1"/>
        <v>173</v>
      </c>
      <c r="E117" s="9">
        <v>9</v>
      </c>
      <c r="F117" s="10" t="s">
        <v>137</v>
      </c>
      <c r="G117" s="35" t="s">
        <v>345</v>
      </c>
    </row>
    <row r="118" spans="1:10" ht="96" x14ac:dyDescent="0.2">
      <c r="A118" s="9" t="s">
        <v>97</v>
      </c>
      <c r="B118" s="9">
        <v>44</v>
      </c>
      <c r="C118" s="12" t="s">
        <v>138</v>
      </c>
      <c r="D118" s="9">
        <f t="shared" si="1"/>
        <v>182</v>
      </c>
      <c r="E118" s="9">
        <v>9</v>
      </c>
      <c r="F118" s="10" t="s">
        <v>139</v>
      </c>
      <c r="G118" s="35" t="s">
        <v>345</v>
      </c>
    </row>
    <row r="119" spans="1:10" x14ac:dyDescent="0.2">
      <c r="A119" s="9" t="s">
        <v>97</v>
      </c>
      <c r="B119" s="9">
        <v>45</v>
      </c>
      <c r="C119" s="12" t="s">
        <v>16</v>
      </c>
      <c r="D119" s="9">
        <f t="shared" si="1"/>
        <v>191</v>
      </c>
      <c r="E119" s="9">
        <v>26</v>
      </c>
      <c r="F119" s="10" t="s">
        <v>69</v>
      </c>
      <c r="G119" s="35" t="s">
        <v>345</v>
      </c>
    </row>
    <row r="120" spans="1:10" x14ac:dyDescent="0.2">
      <c r="A120" s="9" t="s">
        <v>97</v>
      </c>
      <c r="B120" s="9">
        <v>46</v>
      </c>
      <c r="C120" s="12" t="s">
        <v>140</v>
      </c>
      <c r="D120" s="9">
        <f t="shared" si="1"/>
        <v>217</v>
      </c>
      <c r="E120" s="9">
        <v>2</v>
      </c>
      <c r="F120" s="57" t="s">
        <v>141</v>
      </c>
      <c r="G120" s="57" t="s">
        <v>453</v>
      </c>
    </row>
    <row r="121" spans="1:10" ht="48" x14ac:dyDescent="0.2">
      <c r="A121" s="9" t="s">
        <v>97</v>
      </c>
      <c r="B121" s="9">
        <v>47</v>
      </c>
      <c r="C121" s="12" t="s">
        <v>19</v>
      </c>
      <c r="D121" s="9">
        <f t="shared" si="1"/>
        <v>219</v>
      </c>
      <c r="E121" s="9">
        <v>11</v>
      </c>
      <c r="F121" s="10" t="s">
        <v>142</v>
      </c>
      <c r="G121" s="48" t="s">
        <v>454</v>
      </c>
    </row>
    <row r="122" spans="1:10" x14ac:dyDescent="0.2">
      <c r="A122" s="9" t="s">
        <v>97</v>
      </c>
      <c r="B122" s="9">
        <v>48</v>
      </c>
      <c r="C122" s="12" t="s">
        <v>16</v>
      </c>
      <c r="D122" s="9">
        <f t="shared" si="1"/>
        <v>230</v>
      </c>
      <c r="E122" s="9">
        <v>10</v>
      </c>
      <c r="F122" s="10" t="s">
        <v>69</v>
      </c>
      <c r="G122" s="35" t="s">
        <v>345</v>
      </c>
    </row>
    <row r="123" spans="1:10" x14ac:dyDescent="0.2">
      <c r="A123" s="9" t="s">
        <v>97</v>
      </c>
      <c r="B123" s="9">
        <v>49</v>
      </c>
      <c r="C123" s="12" t="s">
        <v>16</v>
      </c>
      <c r="D123" s="9">
        <f t="shared" si="1"/>
        <v>240</v>
      </c>
      <c r="E123" s="9">
        <v>5</v>
      </c>
      <c r="F123" s="10" t="s">
        <v>69</v>
      </c>
      <c r="G123" s="35" t="s">
        <v>345</v>
      </c>
    </row>
    <row r="124" spans="1:10" x14ac:dyDescent="0.2">
      <c r="A124" s="9" t="s">
        <v>97</v>
      </c>
      <c r="B124" s="9">
        <v>50</v>
      </c>
      <c r="C124" s="12" t="s">
        <v>143</v>
      </c>
      <c r="D124" s="9">
        <f t="shared" si="1"/>
        <v>245</v>
      </c>
      <c r="E124" s="9">
        <v>13</v>
      </c>
      <c r="F124" s="10" t="s">
        <v>144</v>
      </c>
      <c r="G124" s="60" t="s">
        <v>383</v>
      </c>
      <c r="H124" s="59" t="s">
        <v>143</v>
      </c>
    </row>
    <row r="125" spans="1:10" ht="36" x14ac:dyDescent="0.2">
      <c r="A125" s="9" t="s">
        <v>97</v>
      </c>
      <c r="B125" s="9">
        <v>51</v>
      </c>
      <c r="C125" s="12" t="s">
        <v>84</v>
      </c>
      <c r="D125" s="9">
        <f t="shared" si="1"/>
        <v>258</v>
      </c>
      <c r="E125" s="9">
        <v>8</v>
      </c>
      <c r="F125" s="10" t="s">
        <v>145</v>
      </c>
      <c r="G125" s="35" t="s">
        <v>345</v>
      </c>
    </row>
    <row r="126" spans="1:10" ht="36" x14ac:dyDescent="0.2">
      <c r="A126" s="9" t="s">
        <v>97</v>
      </c>
      <c r="B126" s="9">
        <v>52</v>
      </c>
      <c r="C126" s="12" t="s">
        <v>78</v>
      </c>
      <c r="D126" s="9">
        <f t="shared" si="1"/>
        <v>266</v>
      </c>
      <c r="E126" s="9">
        <v>13</v>
      </c>
      <c r="F126" s="10" t="s">
        <v>146</v>
      </c>
      <c r="G126" s="41" t="s">
        <v>370</v>
      </c>
      <c r="H126" s="62" t="s">
        <v>445</v>
      </c>
      <c r="I126" s="59"/>
      <c r="J126" s="63" t="s">
        <v>441</v>
      </c>
    </row>
    <row r="127" spans="1:10" ht="48" x14ac:dyDescent="0.2">
      <c r="A127" s="9" t="s">
        <v>97</v>
      </c>
      <c r="B127" s="9">
        <v>53</v>
      </c>
      <c r="C127" s="12" t="s">
        <v>147</v>
      </c>
      <c r="D127" s="9">
        <f t="shared" si="1"/>
        <v>279</v>
      </c>
      <c r="E127" s="9">
        <v>4</v>
      </c>
      <c r="F127" s="10" t="s">
        <v>148</v>
      </c>
      <c r="G127" s="35" t="s">
        <v>345</v>
      </c>
    </row>
    <row r="128" spans="1:10" ht="36" x14ac:dyDescent="0.2">
      <c r="A128" s="9" t="s">
        <v>97</v>
      </c>
      <c r="B128" s="9">
        <v>54</v>
      </c>
      <c r="C128" s="12" t="s">
        <v>82</v>
      </c>
      <c r="D128" s="9">
        <f t="shared" si="1"/>
        <v>283</v>
      </c>
      <c r="E128" s="9">
        <v>8</v>
      </c>
      <c r="F128" s="10" t="s">
        <v>149</v>
      </c>
      <c r="G128" s="35" t="s">
        <v>345</v>
      </c>
    </row>
    <row r="129" spans="1:10" ht="48" x14ac:dyDescent="0.2">
      <c r="A129" s="9" t="s">
        <v>97</v>
      </c>
      <c r="B129" s="9">
        <v>55</v>
      </c>
      <c r="C129" s="12" t="s">
        <v>150</v>
      </c>
      <c r="D129" s="9">
        <f t="shared" si="1"/>
        <v>291</v>
      </c>
      <c r="E129" s="9">
        <v>4</v>
      </c>
      <c r="F129" s="10" t="s">
        <v>151</v>
      </c>
      <c r="G129" s="35" t="s">
        <v>345</v>
      </c>
    </row>
    <row r="130" spans="1:10" ht="36" x14ac:dyDescent="0.2">
      <c r="A130" s="9" t="s">
        <v>97</v>
      </c>
      <c r="B130" s="9">
        <v>56</v>
      </c>
      <c r="C130" s="12" t="s">
        <v>76</v>
      </c>
      <c r="D130" s="9">
        <f t="shared" si="1"/>
        <v>295</v>
      </c>
      <c r="E130" s="9">
        <v>8</v>
      </c>
      <c r="F130" s="10" t="s">
        <v>152</v>
      </c>
      <c r="G130" s="35" t="s">
        <v>345</v>
      </c>
    </row>
    <row r="131" spans="1:10" ht="36" x14ac:dyDescent="0.2">
      <c r="A131" s="9" t="s">
        <v>97</v>
      </c>
      <c r="B131" s="9">
        <v>57</v>
      </c>
      <c r="C131" s="12" t="s">
        <v>153</v>
      </c>
      <c r="D131" s="9">
        <f t="shared" si="1"/>
        <v>303</v>
      </c>
      <c r="E131" s="9">
        <v>15</v>
      </c>
      <c r="F131" s="10" t="s">
        <v>154</v>
      </c>
      <c r="G131" s="45" t="s">
        <v>448</v>
      </c>
      <c r="J131" s="45" t="s">
        <v>446</v>
      </c>
    </row>
    <row r="132" spans="1:10" ht="36" x14ac:dyDescent="0.2">
      <c r="A132" s="9" t="s">
        <v>97</v>
      </c>
      <c r="B132" s="9">
        <v>58</v>
      </c>
      <c r="C132" s="12" t="s">
        <v>155</v>
      </c>
      <c r="D132" s="9">
        <f t="shared" si="1"/>
        <v>318</v>
      </c>
      <c r="E132" s="9">
        <v>8</v>
      </c>
      <c r="F132" s="10" t="s">
        <v>156</v>
      </c>
      <c r="G132" t="s">
        <v>385</v>
      </c>
      <c r="H132" s="39" t="s">
        <v>297</v>
      </c>
      <c r="J132" s="45" t="s">
        <v>447</v>
      </c>
    </row>
    <row r="133" spans="1:10" ht="36" x14ac:dyDescent="0.2">
      <c r="A133" s="9" t="s">
        <v>97</v>
      </c>
      <c r="B133" s="9">
        <v>59</v>
      </c>
      <c r="C133" s="12" t="s">
        <v>157</v>
      </c>
      <c r="D133" s="9">
        <f t="shared" si="1"/>
        <v>326</v>
      </c>
      <c r="E133" s="9">
        <v>15</v>
      </c>
      <c r="F133" s="10" t="s">
        <v>158</v>
      </c>
      <c r="G133" s="35" t="s">
        <v>345</v>
      </c>
    </row>
    <row r="134" spans="1:10" ht="36" x14ac:dyDescent="0.2">
      <c r="A134" s="9" t="s">
        <v>97</v>
      </c>
      <c r="B134" s="9">
        <v>60</v>
      </c>
      <c r="C134" s="12" t="s">
        <v>159</v>
      </c>
      <c r="D134" s="9">
        <f t="shared" si="1"/>
        <v>341</v>
      </c>
      <c r="E134" s="9">
        <v>8</v>
      </c>
      <c r="F134" s="10" t="s">
        <v>160</v>
      </c>
      <c r="G134" s="35" t="s">
        <v>345</v>
      </c>
    </row>
    <row r="135" spans="1:10" ht="36" x14ac:dyDescent="0.2">
      <c r="A135" s="9" t="s">
        <v>97</v>
      </c>
      <c r="B135" s="9">
        <v>61</v>
      </c>
      <c r="C135" s="47" t="s">
        <v>161</v>
      </c>
      <c r="D135" s="9">
        <f t="shared" si="1"/>
        <v>349</v>
      </c>
      <c r="E135" s="9">
        <v>15</v>
      </c>
      <c r="F135" s="10" t="s">
        <v>162</v>
      </c>
      <c r="G135" s="48" t="s">
        <v>416</v>
      </c>
      <c r="H135" s="64" t="s">
        <v>415</v>
      </c>
      <c r="I135" s="59"/>
    </row>
    <row r="136" spans="1:10" ht="36" x14ac:dyDescent="0.2">
      <c r="A136" s="9" t="s">
        <v>97</v>
      </c>
      <c r="B136" s="9">
        <v>62</v>
      </c>
      <c r="C136" s="47" t="s">
        <v>163</v>
      </c>
      <c r="D136" s="9">
        <f t="shared" si="1"/>
        <v>364</v>
      </c>
      <c r="E136" s="9">
        <v>8</v>
      </c>
      <c r="F136" s="10" t="s">
        <v>164</v>
      </c>
      <c r="G136" t="s">
        <v>385</v>
      </c>
      <c r="H136" s="59" t="s">
        <v>297</v>
      </c>
      <c r="I136" s="59"/>
    </row>
    <row r="137" spans="1:10" ht="36" x14ac:dyDescent="0.2">
      <c r="A137" s="9" t="s">
        <v>97</v>
      </c>
      <c r="B137" s="9">
        <v>63</v>
      </c>
      <c r="C137" s="12" t="s">
        <v>165</v>
      </c>
      <c r="D137" s="9">
        <f t="shared" si="1"/>
        <v>372</v>
      </c>
      <c r="E137" s="9">
        <v>15</v>
      </c>
      <c r="F137" s="10" t="s">
        <v>166</v>
      </c>
      <c r="G137" s="35" t="s">
        <v>345</v>
      </c>
    </row>
    <row r="138" spans="1:10" ht="36" x14ac:dyDescent="0.2">
      <c r="A138" s="9" t="s">
        <v>97</v>
      </c>
      <c r="B138" s="9">
        <v>64</v>
      </c>
      <c r="C138" s="12" t="s">
        <v>167</v>
      </c>
      <c r="D138" s="9">
        <f t="shared" si="1"/>
        <v>387</v>
      </c>
      <c r="E138" s="9">
        <v>8</v>
      </c>
      <c r="F138" s="10" t="s">
        <v>168</v>
      </c>
      <c r="G138" s="35" t="s">
        <v>345</v>
      </c>
    </row>
    <row r="139" spans="1:10" x14ac:dyDescent="0.2">
      <c r="A139" s="9" t="s">
        <v>97</v>
      </c>
      <c r="B139" s="9">
        <v>65</v>
      </c>
      <c r="C139" s="12" t="s">
        <v>16</v>
      </c>
      <c r="D139" s="9">
        <f t="shared" si="1"/>
        <v>395</v>
      </c>
      <c r="E139" s="9">
        <v>15</v>
      </c>
      <c r="F139" s="10" t="s">
        <v>69</v>
      </c>
      <c r="G139" s="35" t="s">
        <v>345</v>
      </c>
    </row>
    <row r="140" spans="1:10" ht="84" x14ac:dyDescent="0.2">
      <c r="A140" s="9" t="s">
        <v>97</v>
      </c>
      <c r="B140" s="9">
        <v>66</v>
      </c>
      <c r="C140" s="12" t="s">
        <v>169</v>
      </c>
      <c r="D140" s="9">
        <f t="shared" si="1"/>
        <v>410</v>
      </c>
      <c r="E140" s="9">
        <v>8</v>
      </c>
      <c r="F140" s="10" t="s">
        <v>170</v>
      </c>
      <c r="G140" s="35" t="s">
        <v>345</v>
      </c>
    </row>
    <row r="141" spans="1:10" x14ac:dyDescent="0.2">
      <c r="A141" s="9" t="s">
        <v>97</v>
      </c>
      <c r="B141" s="9">
        <v>67</v>
      </c>
      <c r="C141" s="12" t="s">
        <v>16</v>
      </c>
      <c r="D141" s="9">
        <f t="shared" si="1"/>
        <v>418</v>
      </c>
      <c r="E141" s="9">
        <v>1</v>
      </c>
      <c r="F141" s="10" t="s">
        <v>69</v>
      </c>
      <c r="G141" s="46" t="s">
        <v>345</v>
      </c>
    </row>
    <row r="142" spans="1:10" ht="114" x14ac:dyDescent="0.2">
      <c r="A142" s="9" t="s">
        <v>97</v>
      </c>
      <c r="B142" s="9">
        <v>68</v>
      </c>
      <c r="C142" s="12" t="s">
        <v>171</v>
      </c>
      <c r="D142" s="9">
        <f t="shared" si="1"/>
        <v>419</v>
      </c>
      <c r="E142" s="9">
        <v>2</v>
      </c>
      <c r="F142" s="43" t="s">
        <v>172</v>
      </c>
      <c r="G142" s="60" t="s">
        <v>373</v>
      </c>
      <c r="H142" s="59"/>
    </row>
    <row r="143" spans="1:10" ht="71.25" x14ac:dyDescent="0.2">
      <c r="A143" s="9" t="s">
        <v>97</v>
      </c>
      <c r="B143" s="9">
        <v>69</v>
      </c>
      <c r="C143" s="12" t="s">
        <v>173</v>
      </c>
      <c r="D143" s="9">
        <f t="shared" si="1"/>
        <v>421</v>
      </c>
      <c r="E143" s="9">
        <v>1</v>
      </c>
      <c r="F143" s="52" t="s">
        <v>174</v>
      </c>
      <c r="G143" s="42" t="s">
        <v>455</v>
      </c>
      <c r="H143" s="59"/>
    </row>
    <row r="144" spans="1:10" x14ac:dyDescent="0.2">
      <c r="A144" s="9" t="s">
        <v>97</v>
      </c>
      <c r="B144" s="9">
        <v>70</v>
      </c>
      <c r="C144" s="12" t="s">
        <v>16</v>
      </c>
      <c r="D144" s="9">
        <f t="shared" si="1"/>
        <v>422</v>
      </c>
      <c r="E144" s="9">
        <v>1</v>
      </c>
      <c r="F144" s="10" t="s">
        <v>175</v>
      </c>
      <c r="G144" s="35" t="s">
        <v>345</v>
      </c>
    </row>
    <row r="145" spans="1:8" ht="36" x14ac:dyDescent="0.2">
      <c r="A145" s="9" t="s">
        <v>97</v>
      </c>
      <c r="B145" s="9">
        <v>71</v>
      </c>
      <c r="C145" s="12" t="s">
        <v>176</v>
      </c>
      <c r="D145" s="9">
        <f t="shared" si="1"/>
        <v>423</v>
      </c>
      <c r="E145" s="9">
        <v>2</v>
      </c>
      <c r="F145" s="10" t="s">
        <v>177</v>
      </c>
      <c r="G145" s="41"/>
      <c r="H145" s="59"/>
    </row>
    <row r="146" spans="1:8" ht="36" x14ac:dyDescent="0.2">
      <c r="A146" s="9" t="s">
        <v>97</v>
      </c>
      <c r="B146" s="9">
        <v>72</v>
      </c>
      <c r="C146" s="12" t="s">
        <v>65</v>
      </c>
      <c r="D146" s="9">
        <f t="shared" si="1"/>
        <v>425</v>
      </c>
      <c r="E146" s="9">
        <v>8</v>
      </c>
      <c r="F146" s="10" t="s">
        <v>178</v>
      </c>
      <c r="G146" t="s">
        <v>356</v>
      </c>
    </row>
    <row r="147" spans="1:8" x14ac:dyDescent="0.2">
      <c r="A147" s="9" t="s">
        <v>97</v>
      </c>
      <c r="B147" s="9">
        <v>73</v>
      </c>
      <c r="C147" s="12" t="s">
        <v>72</v>
      </c>
      <c r="D147" s="9">
        <f t="shared" si="1"/>
        <v>433</v>
      </c>
      <c r="E147" s="9">
        <v>2</v>
      </c>
      <c r="F147" s="10" t="s">
        <v>179</v>
      </c>
      <c r="G147" s="60" t="s">
        <v>370</v>
      </c>
      <c r="H147" s="59"/>
    </row>
    <row r="148" spans="1:8" ht="36" x14ac:dyDescent="0.2">
      <c r="A148" s="9" t="s">
        <v>97</v>
      </c>
      <c r="B148" s="9">
        <v>74</v>
      </c>
      <c r="C148" s="12" t="s">
        <v>80</v>
      </c>
      <c r="D148" s="9">
        <f t="shared" si="1"/>
        <v>435</v>
      </c>
      <c r="E148" s="9">
        <v>8</v>
      </c>
      <c r="F148" s="10" t="s">
        <v>180</v>
      </c>
      <c r="G148" s="41" t="s">
        <v>356</v>
      </c>
      <c r="H148" s="59"/>
    </row>
    <row r="149" spans="1:8" ht="48" x14ac:dyDescent="0.2">
      <c r="A149" s="9" t="s">
        <v>97</v>
      </c>
      <c r="B149" s="9">
        <v>75</v>
      </c>
      <c r="C149" s="12" t="s">
        <v>181</v>
      </c>
      <c r="D149" s="9">
        <f t="shared" si="1"/>
        <v>443</v>
      </c>
      <c r="E149" s="9">
        <v>2</v>
      </c>
      <c r="F149" s="10" t="s">
        <v>182</v>
      </c>
      <c r="G149" s="45" t="s">
        <v>387</v>
      </c>
    </row>
    <row r="150" spans="1:8" ht="36" x14ac:dyDescent="0.2">
      <c r="A150" s="9" t="s">
        <v>97</v>
      </c>
      <c r="B150" s="9">
        <v>76</v>
      </c>
      <c r="C150" s="12" t="s">
        <v>183</v>
      </c>
      <c r="D150" s="9">
        <f t="shared" si="1"/>
        <v>445</v>
      </c>
      <c r="E150" s="9">
        <v>8</v>
      </c>
      <c r="F150" s="10" t="s">
        <v>184</v>
      </c>
      <c r="G150" s="47" t="s">
        <v>356</v>
      </c>
    </row>
    <row r="151" spans="1:8" ht="24" x14ac:dyDescent="0.2">
      <c r="A151" s="9" t="s">
        <v>97</v>
      </c>
      <c r="B151" s="9">
        <v>77</v>
      </c>
      <c r="C151" s="12" t="s">
        <v>185</v>
      </c>
      <c r="D151" s="9">
        <f t="shared" si="1"/>
        <v>453</v>
      </c>
      <c r="E151" s="9">
        <v>3</v>
      </c>
      <c r="F151" s="10" t="s">
        <v>186</v>
      </c>
      <c r="G151" s="47" t="s">
        <v>388</v>
      </c>
    </row>
    <row r="152" spans="1:8" ht="36" x14ac:dyDescent="0.2">
      <c r="A152" s="9" t="s">
        <v>97</v>
      </c>
      <c r="B152" s="9">
        <v>78</v>
      </c>
      <c r="C152" s="12" t="s">
        <v>187</v>
      </c>
      <c r="D152" s="9">
        <f t="shared" si="1"/>
        <v>456</v>
      </c>
      <c r="E152" s="9">
        <v>8</v>
      </c>
      <c r="F152" s="10" t="s">
        <v>188</v>
      </c>
      <c r="G152" s="47" t="s">
        <v>356</v>
      </c>
    </row>
    <row r="153" spans="1:8" ht="60" x14ac:dyDescent="0.2">
      <c r="A153" s="9" t="s">
        <v>97</v>
      </c>
      <c r="B153" s="9">
        <v>79</v>
      </c>
      <c r="C153" s="12" t="s">
        <v>189</v>
      </c>
      <c r="D153" s="9">
        <f t="shared" si="1"/>
        <v>464</v>
      </c>
      <c r="E153" s="9">
        <v>2</v>
      </c>
      <c r="F153" s="10" t="s">
        <v>190</v>
      </c>
      <c r="G153" s="41" t="s">
        <v>389</v>
      </c>
    </row>
    <row r="154" spans="1:8" ht="36" x14ac:dyDescent="0.2">
      <c r="A154" s="9" t="s">
        <v>97</v>
      </c>
      <c r="B154" s="9">
        <v>80</v>
      </c>
      <c r="C154" s="12" t="s">
        <v>191</v>
      </c>
      <c r="D154" s="9">
        <f t="shared" si="1"/>
        <v>466</v>
      </c>
      <c r="E154" s="9">
        <v>8</v>
      </c>
      <c r="F154" s="10" t="s">
        <v>192</v>
      </c>
      <c r="G154" s="41" t="s">
        <v>356</v>
      </c>
    </row>
    <row r="155" spans="1:8" ht="24" x14ac:dyDescent="0.2">
      <c r="A155" s="9" t="s">
        <v>97</v>
      </c>
      <c r="B155" s="9">
        <v>81</v>
      </c>
      <c r="C155" s="12" t="s">
        <v>193</v>
      </c>
      <c r="D155" s="9">
        <f t="shared" si="1"/>
        <v>474</v>
      </c>
      <c r="E155" s="9">
        <v>3</v>
      </c>
      <c r="F155" s="10" t="s">
        <v>194</v>
      </c>
      <c r="G155" s="41" t="s">
        <v>388</v>
      </c>
    </row>
    <row r="156" spans="1:8" ht="36" x14ac:dyDescent="0.2">
      <c r="A156" s="9" t="s">
        <v>97</v>
      </c>
      <c r="B156" s="9">
        <v>82</v>
      </c>
      <c r="C156" s="12" t="s">
        <v>195</v>
      </c>
      <c r="D156" s="9">
        <f t="shared" si="1"/>
        <v>477</v>
      </c>
      <c r="E156" s="9">
        <v>8</v>
      </c>
      <c r="F156" s="10" t="s">
        <v>196</v>
      </c>
      <c r="G156" s="41" t="s">
        <v>356</v>
      </c>
    </row>
    <row r="157" spans="1:8" x14ac:dyDescent="0.2">
      <c r="A157" s="9" t="s">
        <v>97</v>
      </c>
      <c r="B157" s="9">
        <v>83</v>
      </c>
      <c r="C157" s="12" t="s">
        <v>16</v>
      </c>
      <c r="D157" s="9">
        <f t="shared" si="1"/>
        <v>485</v>
      </c>
      <c r="E157" s="9">
        <v>1</v>
      </c>
      <c r="F157" s="10" t="s">
        <v>69</v>
      </c>
      <c r="G157" s="35" t="s">
        <v>345</v>
      </c>
    </row>
    <row r="158" spans="1:8" x14ac:dyDescent="0.2">
      <c r="A158" s="9" t="s">
        <v>97</v>
      </c>
      <c r="B158" s="9">
        <v>84</v>
      </c>
      <c r="C158" s="12" t="s">
        <v>16</v>
      </c>
      <c r="D158" s="9">
        <f t="shared" si="1"/>
        <v>486</v>
      </c>
      <c r="E158" s="9">
        <v>12</v>
      </c>
      <c r="F158" s="10" t="s">
        <v>69</v>
      </c>
      <c r="G158" s="35" t="s">
        <v>345</v>
      </c>
    </row>
    <row r="159" spans="1:8" x14ac:dyDescent="0.2">
      <c r="A159" s="9" t="s">
        <v>97</v>
      </c>
      <c r="B159" s="9">
        <v>85</v>
      </c>
      <c r="C159" s="12" t="s">
        <v>16</v>
      </c>
      <c r="D159" s="9">
        <f t="shared" si="1"/>
        <v>498</v>
      </c>
      <c r="E159" s="9">
        <v>1</v>
      </c>
      <c r="F159" s="10" t="s">
        <v>69</v>
      </c>
      <c r="G159" s="35" t="s">
        <v>345</v>
      </c>
    </row>
    <row r="160" spans="1:8" x14ac:dyDescent="0.2">
      <c r="A160" s="9" t="s">
        <v>97</v>
      </c>
      <c r="B160" s="9">
        <v>86</v>
      </c>
      <c r="C160" s="12" t="s">
        <v>16</v>
      </c>
      <c r="D160" s="9">
        <f t="shared" si="1"/>
        <v>499</v>
      </c>
      <c r="E160" s="9">
        <v>8</v>
      </c>
      <c r="F160" s="10" t="s">
        <v>69</v>
      </c>
      <c r="G160" s="35" t="s">
        <v>345</v>
      </c>
    </row>
    <row r="161" spans="1:24" ht="84" x14ac:dyDescent="0.2">
      <c r="A161" s="9" t="s">
        <v>97</v>
      </c>
      <c r="B161" s="9">
        <f t="shared" ref="B161:B179" si="2">B160+1</f>
        <v>87</v>
      </c>
      <c r="C161" s="12" t="s">
        <v>197</v>
      </c>
      <c r="D161" s="9">
        <f t="shared" si="1"/>
        <v>507</v>
      </c>
      <c r="E161" s="9">
        <v>3</v>
      </c>
      <c r="F161" s="10" t="s">
        <v>198</v>
      </c>
      <c r="G161" s="35" t="s">
        <v>345</v>
      </c>
      <c r="H161" s="40"/>
      <c r="I161" s="40"/>
      <c r="J161" s="17"/>
      <c r="K161" s="17"/>
      <c r="L161" s="17"/>
      <c r="M161" s="17"/>
      <c r="N161" s="17"/>
      <c r="O161" s="17"/>
      <c r="P161" s="17"/>
      <c r="Q161" s="17"/>
      <c r="R161" s="17"/>
      <c r="S161" s="17"/>
      <c r="T161" s="17"/>
      <c r="U161" s="17"/>
      <c r="V161" s="17"/>
      <c r="W161" s="17"/>
      <c r="X161" s="17"/>
    </row>
    <row r="162" spans="1:24" ht="72" x14ac:dyDescent="0.2">
      <c r="A162" s="9" t="s">
        <v>97</v>
      </c>
      <c r="B162" s="9">
        <f t="shared" si="2"/>
        <v>88</v>
      </c>
      <c r="C162" s="12" t="s">
        <v>199</v>
      </c>
      <c r="D162" s="9">
        <f t="shared" si="1"/>
        <v>510</v>
      </c>
      <c r="E162" s="9">
        <v>3</v>
      </c>
      <c r="F162" s="10" t="s">
        <v>200</v>
      </c>
      <c r="G162" s="45" t="s">
        <v>384</v>
      </c>
    </row>
    <row r="163" spans="1:24" x14ac:dyDescent="0.2">
      <c r="A163" s="9" t="s">
        <v>97</v>
      </c>
      <c r="B163" s="9">
        <f t="shared" si="2"/>
        <v>89</v>
      </c>
      <c r="C163" s="12" t="s">
        <v>201</v>
      </c>
      <c r="D163" s="9">
        <f t="shared" si="1"/>
        <v>513</v>
      </c>
      <c r="E163" s="9">
        <v>13</v>
      </c>
      <c r="F163" s="10" t="s">
        <v>202</v>
      </c>
      <c r="G163" s="35" t="s">
        <v>345</v>
      </c>
      <c r="H163" s="62"/>
      <c r="I163" s="59"/>
      <c r="J163" s="63" t="s">
        <v>441</v>
      </c>
    </row>
    <row r="164" spans="1:24" ht="72" x14ac:dyDescent="0.2">
      <c r="A164" s="9" t="s">
        <v>97</v>
      </c>
      <c r="B164" s="9">
        <f t="shared" si="2"/>
        <v>90</v>
      </c>
      <c r="C164" s="12" t="s">
        <v>203</v>
      </c>
      <c r="D164" s="9">
        <v>526</v>
      </c>
      <c r="E164" s="9">
        <v>1</v>
      </c>
      <c r="F164" s="10" t="s">
        <v>204</v>
      </c>
      <c r="G164" s="35" t="s">
        <v>345</v>
      </c>
    </row>
    <row r="165" spans="1:24" ht="72" x14ac:dyDescent="0.2">
      <c r="A165" s="9" t="s">
        <v>97</v>
      </c>
      <c r="B165" s="9">
        <f t="shared" si="2"/>
        <v>91</v>
      </c>
      <c r="C165" s="12" t="s">
        <v>205</v>
      </c>
      <c r="D165" s="9">
        <f t="shared" ref="D165:D179" si="3">SUM(D164:E164)</f>
        <v>527</v>
      </c>
      <c r="E165" s="9">
        <v>1</v>
      </c>
      <c r="F165" s="10" t="s">
        <v>206</v>
      </c>
      <c r="G165" s="35" t="s">
        <v>345</v>
      </c>
    </row>
    <row r="166" spans="1:24" ht="36" x14ac:dyDescent="0.2">
      <c r="A166" s="9" t="s">
        <v>97</v>
      </c>
      <c r="B166" s="9">
        <f t="shared" si="2"/>
        <v>92</v>
      </c>
      <c r="C166" s="12" t="s">
        <v>207</v>
      </c>
      <c r="D166" s="9">
        <f t="shared" si="3"/>
        <v>528</v>
      </c>
      <c r="E166" s="9">
        <v>5</v>
      </c>
      <c r="F166" s="10" t="s">
        <v>208</v>
      </c>
      <c r="G166" s="35" t="s">
        <v>345</v>
      </c>
    </row>
    <row r="167" spans="1:24" ht="72" x14ac:dyDescent="0.2">
      <c r="A167" s="9" t="s">
        <v>97</v>
      </c>
      <c r="B167" s="9">
        <f t="shared" si="2"/>
        <v>93</v>
      </c>
      <c r="C167" s="44" t="s">
        <v>209</v>
      </c>
      <c r="D167" s="9">
        <f t="shared" si="3"/>
        <v>533</v>
      </c>
      <c r="E167" s="9">
        <v>1</v>
      </c>
      <c r="F167" s="10" t="s">
        <v>210</v>
      </c>
      <c r="G167" s="35" t="s">
        <v>345</v>
      </c>
    </row>
    <row r="168" spans="1:24" ht="96" x14ac:dyDescent="0.2">
      <c r="A168" s="9" t="s">
        <v>97</v>
      </c>
      <c r="B168" s="9">
        <f t="shared" si="2"/>
        <v>94</v>
      </c>
      <c r="C168" s="12" t="s">
        <v>211</v>
      </c>
      <c r="D168" s="9">
        <f t="shared" si="3"/>
        <v>534</v>
      </c>
      <c r="E168" s="9">
        <v>1</v>
      </c>
      <c r="F168" s="18" t="s">
        <v>212</v>
      </c>
      <c r="G168" s="35" t="s">
        <v>345</v>
      </c>
    </row>
    <row r="169" spans="1:24" ht="14.25" x14ac:dyDescent="0.2">
      <c r="A169" s="9" t="s">
        <v>97</v>
      </c>
      <c r="B169" s="9">
        <f t="shared" si="2"/>
        <v>95</v>
      </c>
      <c r="C169" s="12" t="s">
        <v>213</v>
      </c>
      <c r="D169" s="9">
        <f t="shared" si="3"/>
        <v>535</v>
      </c>
      <c r="E169" s="9">
        <v>3</v>
      </c>
      <c r="F169" s="52" t="s">
        <v>214</v>
      </c>
      <c r="G169" s="41" t="s">
        <v>456</v>
      </c>
    </row>
    <row r="170" spans="1:24" ht="48" x14ac:dyDescent="0.2">
      <c r="A170" s="9" t="s">
        <v>97</v>
      </c>
      <c r="B170" s="9">
        <f t="shared" si="2"/>
        <v>96</v>
      </c>
      <c r="C170" s="12" t="s">
        <v>215</v>
      </c>
      <c r="D170" s="9">
        <f t="shared" si="3"/>
        <v>538</v>
      </c>
      <c r="E170" s="9">
        <v>8</v>
      </c>
      <c r="F170" s="10" t="s">
        <v>216</v>
      </c>
      <c r="G170" s="45" t="s">
        <v>349</v>
      </c>
    </row>
    <row r="171" spans="1:24" ht="60" x14ac:dyDescent="0.2">
      <c r="A171" s="9" t="s">
        <v>97</v>
      </c>
      <c r="B171" s="9">
        <f t="shared" si="2"/>
        <v>97</v>
      </c>
      <c r="C171" s="12" t="s">
        <v>217</v>
      </c>
      <c r="D171" s="9">
        <f t="shared" si="3"/>
        <v>546</v>
      </c>
      <c r="E171" s="9">
        <v>8</v>
      </c>
      <c r="F171" s="10" t="s">
        <v>218</v>
      </c>
      <c r="G171" s="35" t="s">
        <v>345</v>
      </c>
    </row>
    <row r="172" spans="1:24" ht="60" x14ac:dyDescent="0.2">
      <c r="A172" s="9" t="s">
        <v>97</v>
      </c>
      <c r="B172" s="9">
        <f t="shared" si="2"/>
        <v>98</v>
      </c>
      <c r="C172" s="12" t="s">
        <v>219</v>
      </c>
      <c r="D172" s="9">
        <f t="shared" si="3"/>
        <v>554</v>
      </c>
      <c r="E172" s="9">
        <v>8</v>
      </c>
      <c r="F172" s="10" t="s">
        <v>218</v>
      </c>
      <c r="G172" s="35" t="s">
        <v>345</v>
      </c>
    </row>
    <row r="173" spans="1:24" ht="60" x14ac:dyDescent="0.2">
      <c r="A173" s="9" t="s">
        <v>97</v>
      </c>
      <c r="B173" s="9">
        <f t="shared" si="2"/>
        <v>99</v>
      </c>
      <c r="C173" s="12" t="s">
        <v>220</v>
      </c>
      <c r="D173" s="9">
        <f t="shared" si="3"/>
        <v>562</v>
      </c>
      <c r="E173" s="9">
        <v>15</v>
      </c>
      <c r="F173" s="10" t="s">
        <v>218</v>
      </c>
      <c r="G173" s="35" t="s">
        <v>345</v>
      </c>
    </row>
    <row r="174" spans="1:24" ht="60" x14ac:dyDescent="0.2">
      <c r="A174" s="9" t="s">
        <v>97</v>
      </c>
      <c r="B174" s="9">
        <f t="shared" si="2"/>
        <v>100</v>
      </c>
      <c r="C174" s="12" t="s">
        <v>221</v>
      </c>
      <c r="D174" s="9">
        <f t="shared" si="3"/>
        <v>577</v>
      </c>
      <c r="E174" s="9">
        <v>15</v>
      </c>
      <c r="F174" s="10" t="s">
        <v>218</v>
      </c>
      <c r="G174" s="35" t="s">
        <v>345</v>
      </c>
    </row>
    <row r="175" spans="1:24" ht="14.25" x14ac:dyDescent="0.2">
      <c r="A175" s="9" t="s">
        <v>97</v>
      </c>
      <c r="B175" s="9">
        <f t="shared" si="2"/>
        <v>101</v>
      </c>
      <c r="C175" s="12" t="s">
        <v>222</v>
      </c>
      <c r="D175" s="9">
        <f t="shared" si="3"/>
        <v>592</v>
      </c>
      <c r="E175" s="9">
        <v>3</v>
      </c>
      <c r="F175" s="43" t="s">
        <v>223</v>
      </c>
      <c r="G175" s="45" t="s">
        <v>390</v>
      </c>
      <c r="H175" s="46" t="s">
        <v>393</v>
      </c>
    </row>
    <row r="176" spans="1:24" ht="14.25" x14ac:dyDescent="0.2">
      <c r="A176" s="9" t="s">
        <v>97</v>
      </c>
      <c r="B176" s="9">
        <f t="shared" si="2"/>
        <v>102</v>
      </c>
      <c r="C176" s="12" t="s">
        <v>224</v>
      </c>
      <c r="D176" s="9">
        <f t="shared" si="3"/>
        <v>595</v>
      </c>
      <c r="E176" s="9">
        <v>3</v>
      </c>
      <c r="F176" s="43" t="s">
        <v>225</v>
      </c>
      <c r="G176" s="45" t="s">
        <v>392</v>
      </c>
      <c r="H176" s="46" t="s">
        <v>391</v>
      </c>
    </row>
    <row r="177" spans="1:10" ht="14.25" x14ac:dyDescent="0.2">
      <c r="A177" s="9" t="s">
        <v>97</v>
      </c>
      <c r="B177" s="9">
        <f t="shared" si="2"/>
        <v>103</v>
      </c>
      <c r="C177" s="12" t="s">
        <v>226</v>
      </c>
      <c r="D177" s="9">
        <f t="shared" si="3"/>
        <v>598</v>
      </c>
      <c r="E177" s="9">
        <v>2</v>
      </c>
      <c r="F177" s="43" t="s">
        <v>227</v>
      </c>
      <c r="G177" s="60" t="s">
        <v>394</v>
      </c>
      <c r="H177" s="62" t="s">
        <v>395</v>
      </c>
    </row>
    <row r="178" spans="1:10" ht="14.25" x14ac:dyDescent="0.2">
      <c r="A178" s="9" t="s">
        <v>97</v>
      </c>
      <c r="B178" s="9">
        <f t="shared" si="2"/>
        <v>104</v>
      </c>
      <c r="C178" s="12" t="s">
        <v>228</v>
      </c>
      <c r="D178" s="9">
        <f t="shared" si="3"/>
        <v>600</v>
      </c>
      <c r="E178" s="9">
        <v>2</v>
      </c>
      <c r="F178" s="43" t="s">
        <v>229</v>
      </c>
      <c r="G178" s="60" t="s">
        <v>396</v>
      </c>
      <c r="H178" s="65" t="s">
        <v>397</v>
      </c>
    </row>
    <row r="179" spans="1:10" x14ac:dyDescent="0.2">
      <c r="A179" s="9" t="s">
        <v>97</v>
      </c>
      <c r="B179" s="9">
        <f t="shared" si="2"/>
        <v>105</v>
      </c>
      <c r="C179" s="12" t="s">
        <v>16</v>
      </c>
      <c r="D179" s="9">
        <f t="shared" si="3"/>
        <v>602</v>
      </c>
      <c r="E179" s="9">
        <v>138</v>
      </c>
      <c r="F179" s="10" t="s">
        <v>69</v>
      </c>
      <c r="G179" s="39"/>
    </row>
    <row r="180" spans="1:10" x14ac:dyDescent="0.2">
      <c r="A180" s="4" t="s">
        <v>230</v>
      </c>
      <c r="B180" s="4"/>
      <c r="C180" s="14" t="s">
        <v>231</v>
      </c>
      <c r="D180" s="4"/>
      <c r="E180" s="4"/>
      <c r="F180" s="6"/>
      <c r="G180" s="39"/>
    </row>
    <row r="181" spans="1:10" x14ac:dyDescent="0.2">
      <c r="A181" s="9" t="s">
        <v>230</v>
      </c>
      <c r="B181" s="9">
        <v>1</v>
      </c>
      <c r="C181" s="12" t="s">
        <v>8</v>
      </c>
      <c r="D181" s="9">
        <v>1</v>
      </c>
      <c r="E181" s="9">
        <v>1</v>
      </c>
      <c r="F181" s="10" t="s">
        <v>232</v>
      </c>
      <c r="G181" s="39" t="s">
        <v>405</v>
      </c>
    </row>
    <row r="182" spans="1:10" ht="120" x14ac:dyDescent="0.2">
      <c r="A182" s="9" t="s">
        <v>230</v>
      </c>
      <c r="B182" s="9">
        <v>2</v>
      </c>
      <c r="C182" s="12" t="s">
        <v>10</v>
      </c>
      <c r="D182" s="9">
        <v>2</v>
      </c>
      <c r="E182" s="9">
        <v>1</v>
      </c>
      <c r="F182" s="10" t="s">
        <v>100</v>
      </c>
      <c r="G182" s="47" t="s">
        <v>398</v>
      </c>
    </row>
    <row r="183" spans="1:10" ht="36" x14ac:dyDescent="0.2">
      <c r="A183" s="9" t="s">
        <v>230</v>
      </c>
      <c r="B183" s="9">
        <v>3</v>
      </c>
      <c r="C183" s="12" t="s">
        <v>12</v>
      </c>
      <c r="D183" s="9">
        <v>3</v>
      </c>
      <c r="E183" s="9">
        <v>8</v>
      </c>
      <c r="F183" s="10" t="s">
        <v>233</v>
      </c>
      <c r="G183" s="39" t="s">
        <v>340</v>
      </c>
      <c r="H183" s="39" t="s">
        <v>341</v>
      </c>
      <c r="J183" s="45" t="s">
        <v>420</v>
      </c>
    </row>
    <row r="184" spans="1:10" ht="14.25" x14ac:dyDescent="0.2">
      <c r="A184" s="9" t="s">
        <v>230</v>
      </c>
      <c r="B184" s="9">
        <v>4</v>
      </c>
      <c r="C184" s="12" t="s">
        <v>19</v>
      </c>
      <c r="D184" s="9">
        <v>11</v>
      </c>
      <c r="E184" s="9">
        <v>11</v>
      </c>
      <c r="F184" s="10" t="s">
        <v>234</v>
      </c>
      <c r="G184" s="42"/>
    </row>
    <row r="185" spans="1:10" x14ac:dyDescent="0.2">
      <c r="A185" s="9" t="s">
        <v>230</v>
      </c>
      <c r="B185" s="9">
        <v>5</v>
      </c>
      <c r="C185" s="12" t="s">
        <v>235</v>
      </c>
      <c r="D185" s="9">
        <v>22</v>
      </c>
      <c r="E185" s="9">
        <v>11</v>
      </c>
      <c r="F185" s="10" t="s">
        <v>236</v>
      </c>
      <c r="G185" s="39" t="s">
        <v>372</v>
      </c>
    </row>
    <row r="186" spans="1:10" x14ac:dyDescent="0.2">
      <c r="A186" s="9" t="s">
        <v>230</v>
      </c>
      <c r="B186" s="9">
        <v>6</v>
      </c>
      <c r="C186" s="12" t="s">
        <v>237</v>
      </c>
      <c r="D186" s="9">
        <v>33</v>
      </c>
      <c r="E186" s="9">
        <v>11</v>
      </c>
      <c r="F186" s="10" t="s">
        <v>238</v>
      </c>
      <c r="G186" s="39" t="s">
        <v>345</v>
      </c>
    </row>
    <row r="187" spans="1:10" x14ac:dyDescent="0.2">
      <c r="A187" s="9" t="s">
        <v>230</v>
      </c>
      <c r="B187" s="9">
        <v>7</v>
      </c>
      <c r="C187" s="12" t="s">
        <v>239</v>
      </c>
      <c r="D187" s="9">
        <v>44</v>
      </c>
      <c r="E187" s="9">
        <v>11</v>
      </c>
      <c r="F187" s="10" t="s">
        <v>240</v>
      </c>
      <c r="G187" s="39" t="s">
        <v>345</v>
      </c>
    </row>
    <row r="188" spans="1:10" x14ac:dyDescent="0.2">
      <c r="A188" s="9" t="s">
        <v>230</v>
      </c>
      <c r="B188" s="9">
        <v>8</v>
      </c>
      <c r="C188" s="12" t="s">
        <v>241</v>
      </c>
      <c r="D188" s="9">
        <v>55</v>
      </c>
      <c r="E188" s="9">
        <v>11</v>
      </c>
      <c r="F188" s="10" t="s">
        <v>242</v>
      </c>
      <c r="G188" s="39" t="s">
        <v>345</v>
      </c>
    </row>
    <row r="189" spans="1:10" x14ac:dyDescent="0.2">
      <c r="A189" s="9" t="s">
        <v>230</v>
      </c>
      <c r="B189" s="9">
        <v>9</v>
      </c>
      <c r="C189" s="12" t="s">
        <v>243</v>
      </c>
      <c r="D189" s="9">
        <v>66</v>
      </c>
      <c r="E189" s="9">
        <v>11</v>
      </c>
      <c r="F189" s="10" t="s">
        <v>244</v>
      </c>
      <c r="G189" s="39" t="s">
        <v>345</v>
      </c>
    </row>
    <row r="190" spans="1:10" x14ac:dyDescent="0.2">
      <c r="A190" s="9" t="s">
        <v>230</v>
      </c>
      <c r="B190" s="9">
        <v>10</v>
      </c>
      <c r="C190" s="12" t="s">
        <v>245</v>
      </c>
      <c r="D190" s="9">
        <v>77</v>
      </c>
      <c r="E190" s="9">
        <v>11</v>
      </c>
      <c r="F190" s="10" t="s">
        <v>246</v>
      </c>
      <c r="G190" s="39" t="s">
        <v>345</v>
      </c>
    </row>
    <row r="191" spans="1:10" x14ac:dyDescent="0.2">
      <c r="A191" s="9" t="s">
        <v>230</v>
      </c>
      <c r="B191" s="9">
        <v>11</v>
      </c>
      <c r="C191" s="12" t="s">
        <v>247</v>
      </c>
      <c r="D191" s="9">
        <v>88</v>
      </c>
      <c r="E191" s="9">
        <v>11</v>
      </c>
      <c r="F191" s="10" t="s">
        <v>248</v>
      </c>
      <c r="G191" s="39" t="s">
        <v>345</v>
      </c>
    </row>
    <row r="192" spans="1:10" x14ac:dyDescent="0.2">
      <c r="A192" s="9" t="s">
        <v>230</v>
      </c>
      <c r="B192" s="9">
        <v>12</v>
      </c>
      <c r="C192" s="12" t="s">
        <v>249</v>
      </c>
      <c r="D192" s="9">
        <v>99</v>
      </c>
      <c r="E192" s="9">
        <v>11</v>
      </c>
      <c r="F192" s="10" t="s">
        <v>250</v>
      </c>
      <c r="G192" s="39" t="s">
        <v>345</v>
      </c>
    </row>
    <row r="193" spans="1:10" x14ac:dyDescent="0.2">
      <c r="A193" s="9" t="s">
        <v>230</v>
      </c>
      <c r="B193" s="9">
        <v>13</v>
      </c>
      <c r="C193" s="12" t="s">
        <v>251</v>
      </c>
      <c r="D193" s="9">
        <v>110</v>
      </c>
      <c r="E193" s="9">
        <v>11</v>
      </c>
      <c r="F193" s="10" t="s">
        <v>252</v>
      </c>
      <c r="G193" s="39" t="s">
        <v>345</v>
      </c>
    </row>
    <row r="194" spans="1:10" x14ac:dyDescent="0.2">
      <c r="A194" s="9" t="s">
        <v>230</v>
      </c>
      <c r="B194" s="9">
        <v>14</v>
      </c>
      <c r="C194" s="12" t="s">
        <v>253</v>
      </c>
      <c r="D194" s="9">
        <v>121</v>
      </c>
      <c r="E194" s="9">
        <v>11</v>
      </c>
      <c r="F194" s="10" t="s">
        <v>254</v>
      </c>
      <c r="G194" s="39" t="s">
        <v>345</v>
      </c>
    </row>
    <row r="195" spans="1:10" x14ac:dyDescent="0.2">
      <c r="A195" s="9" t="s">
        <v>230</v>
      </c>
      <c r="B195" s="9">
        <v>15</v>
      </c>
      <c r="C195" s="12" t="s">
        <v>255</v>
      </c>
      <c r="D195" s="9">
        <v>132</v>
      </c>
      <c r="E195" s="9">
        <v>11</v>
      </c>
      <c r="F195" s="10" t="s">
        <v>256</v>
      </c>
      <c r="G195" s="39" t="s">
        <v>345</v>
      </c>
    </row>
    <row r="196" spans="1:10" x14ac:dyDescent="0.2">
      <c r="A196" s="9" t="s">
        <v>230</v>
      </c>
      <c r="B196" s="9">
        <v>16</v>
      </c>
      <c r="C196" s="12" t="s">
        <v>257</v>
      </c>
      <c r="D196" s="9">
        <v>143</v>
      </c>
      <c r="E196" s="9">
        <v>11</v>
      </c>
      <c r="F196" s="10" t="s">
        <v>258</v>
      </c>
      <c r="G196" s="39" t="s">
        <v>345</v>
      </c>
    </row>
    <row r="197" spans="1:10" x14ac:dyDescent="0.2">
      <c r="A197" s="9" t="s">
        <v>230</v>
      </c>
      <c r="B197" s="9">
        <v>17</v>
      </c>
      <c r="C197" s="12" t="s">
        <v>259</v>
      </c>
      <c r="D197" s="9">
        <v>154</v>
      </c>
      <c r="E197" s="9">
        <v>11</v>
      </c>
      <c r="F197" s="10" t="s">
        <v>260</v>
      </c>
      <c r="G197" s="39" t="s">
        <v>345</v>
      </c>
    </row>
    <row r="198" spans="1:10" x14ac:dyDescent="0.2">
      <c r="A198" s="9" t="s">
        <v>230</v>
      </c>
      <c r="B198" s="9">
        <v>18</v>
      </c>
      <c r="C198" s="12" t="s">
        <v>261</v>
      </c>
      <c r="D198" s="9">
        <v>165</v>
      </c>
      <c r="E198" s="9">
        <v>11</v>
      </c>
      <c r="F198" s="10" t="s">
        <v>262</v>
      </c>
      <c r="G198" s="39" t="s">
        <v>345</v>
      </c>
    </row>
    <row r="199" spans="1:10" x14ac:dyDescent="0.2">
      <c r="A199" s="9" t="s">
        <v>230</v>
      </c>
      <c r="B199" s="9">
        <v>19</v>
      </c>
      <c r="C199" s="12" t="s">
        <v>263</v>
      </c>
      <c r="D199" s="9">
        <v>176</v>
      </c>
      <c r="E199" s="9">
        <v>11</v>
      </c>
      <c r="F199" s="10" t="s">
        <v>264</v>
      </c>
      <c r="G199" s="39" t="s">
        <v>345</v>
      </c>
    </row>
    <row r="200" spans="1:10" x14ac:dyDescent="0.2">
      <c r="A200" s="9" t="s">
        <v>230</v>
      </c>
      <c r="B200" s="9">
        <v>20</v>
      </c>
      <c r="C200" s="12" t="s">
        <v>265</v>
      </c>
      <c r="D200" s="9">
        <v>187</v>
      </c>
      <c r="E200" s="9">
        <v>11</v>
      </c>
      <c r="F200" s="10" t="s">
        <v>266</v>
      </c>
      <c r="G200" s="39" t="s">
        <v>345</v>
      </c>
    </row>
    <row r="201" spans="1:10" x14ac:dyDescent="0.2">
      <c r="A201" s="9" t="s">
        <v>230</v>
      </c>
      <c r="B201" s="9">
        <v>21</v>
      </c>
      <c r="C201" s="12" t="s">
        <v>267</v>
      </c>
      <c r="D201" s="9">
        <v>198</v>
      </c>
      <c r="E201" s="9">
        <v>11</v>
      </c>
      <c r="F201" s="10" t="s">
        <v>268</v>
      </c>
      <c r="G201" s="39" t="s">
        <v>345</v>
      </c>
    </row>
    <row r="202" spans="1:10" x14ac:dyDescent="0.2">
      <c r="A202" s="9" t="s">
        <v>230</v>
      </c>
      <c r="B202" s="9">
        <v>22</v>
      </c>
      <c r="C202" s="12" t="s">
        <v>269</v>
      </c>
      <c r="D202" s="9">
        <v>209</v>
      </c>
      <c r="E202" s="9">
        <v>11</v>
      </c>
      <c r="F202" s="10" t="s">
        <v>270</v>
      </c>
      <c r="G202" s="39" t="s">
        <v>345</v>
      </c>
    </row>
    <row r="203" spans="1:10" x14ac:dyDescent="0.2">
      <c r="A203" s="9" t="s">
        <v>230</v>
      </c>
      <c r="B203" s="9">
        <v>23</v>
      </c>
      <c r="C203" s="12" t="s">
        <v>16</v>
      </c>
      <c r="D203" s="9">
        <v>220</v>
      </c>
      <c r="E203" s="9">
        <v>520</v>
      </c>
      <c r="F203" s="10" t="s">
        <v>271</v>
      </c>
      <c r="G203" s="39" t="s">
        <v>345</v>
      </c>
    </row>
    <row r="204" spans="1:10" x14ac:dyDescent="0.2">
      <c r="A204" s="4" t="s">
        <v>272</v>
      </c>
      <c r="B204" s="4"/>
      <c r="C204" s="14" t="s">
        <v>273</v>
      </c>
      <c r="D204" s="4"/>
      <c r="E204" s="4"/>
      <c r="F204" s="6"/>
      <c r="G204" s="39"/>
    </row>
    <row r="205" spans="1:10" x14ac:dyDescent="0.2">
      <c r="A205" s="9" t="s">
        <v>272</v>
      </c>
      <c r="B205" s="9">
        <v>1</v>
      </c>
      <c r="C205" s="12" t="s">
        <v>8</v>
      </c>
      <c r="D205" s="9">
        <v>1</v>
      </c>
      <c r="E205" s="9">
        <v>1</v>
      </c>
      <c r="F205" s="10" t="s">
        <v>274</v>
      </c>
      <c r="G205" s="46" t="s">
        <v>417</v>
      </c>
    </row>
    <row r="206" spans="1:10" ht="120" x14ac:dyDescent="0.2">
      <c r="A206" s="9" t="s">
        <v>272</v>
      </c>
      <c r="B206" s="9">
        <v>2</v>
      </c>
      <c r="C206" s="12" t="s">
        <v>10</v>
      </c>
      <c r="D206" s="9">
        <v>2</v>
      </c>
      <c r="E206" s="9">
        <v>1</v>
      </c>
      <c r="F206" s="10" t="s">
        <v>100</v>
      </c>
      <c r="G206" s="47" t="s">
        <v>398</v>
      </c>
    </row>
    <row r="207" spans="1:10" ht="84" x14ac:dyDescent="0.2">
      <c r="A207" s="9" t="s">
        <v>272</v>
      </c>
      <c r="B207" s="9">
        <v>3</v>
      </c>
      <c r="C207" s="12" t="s">
        <v>275</v>
      </c>
      <c r="D207" s="9">
        <v>3</v>
      </c>
      <c r="E207" s="9">
        <v>8</v>
      </c>
      <c r="F207" s="10" t="s">
        <v>13</v>
      </c>
      <c r="G207" s="39" t="s">
        <v>340</v>
      </c>
      <c r="H207" s="39" t="s">
        <v>341</v>
      </c>
      <c r="J207" s="45" t="s">
        <v>420</v>
      </c>
    </row>
    <row r="208" spans="1:10" x14ac:dyDescent="0.2">
      <c r="A208" s="9" t="s">
        <v>272</v>
      </c>
      <c r="B208" s="9">
        <v>4</v>
      </c>
      <c r="C208" s="12" t="s">
        <v>19</v>
      </c>
      <c r="D208" s="9">
        <v>11</v>
      </c>
      <c r="E208" s="9">
        <v>11</v>
      </c>
      <c r="F208" s="10" t="s">
        <v>234</v>
      </c>
      <c r="G208" s="39" t="s">
        <v>372</v>
      </c>
    </row>
    <row r="209" spans="1:10" x14ac:dyDescent="0.2">
      <c r="A209" s="9" t="s">
        <v>272</v>
      </c>
      <c r="B209" s="9">
        <v>5</v>
      </c>
      <c r="C209" s="12" t="s">
        <v>16</v>
      </c>
      <c r="D209" s="9">
        <v>22</v>
      </c>
      <c r="E209" s="9">
        <v>2</v>
      </c>
      <c r="F209" s="10" t="s">
        <v>276</v>
      </c>
      <c r="G209" s="39" t="s">
        <v>406</v>
      </c>
    </row>
    <row r="210" spans="1:10" ht="14.25" x14ac:dyDescent="0.2">
      <c r="A210" s="9" t="s">
        <v>272</v>
      </c>
      <c r="B210" s="9">
        <v>6</v>
      </c>
      <c r="C210" s="12" t="s">
        <v>277</v>
      </c>
      <c r="D210" s="9">
        <v>24</v>
      </c>
      <c r="E210" s="9">
        <v>3</v>
      </c>
      <c r="F210" s="10" t="s">
        <v>278</v>
      </c>
      <c r="G210" s="41" t="s">
        <v>457</v>
      </c>
    </row>
    <row r="211" spans="1:10" ht="36" x14ac:dyDescent="0.2">
      <c r="A211" s="9" t="s">
        <v>272</v>
      </c>
      <c r="B211" s="9">
        <v>7</v>
      </c>
      <c r="C211" s="12" t="s">
        <v>78</v>
      </c>
      <c r="D211" s="9">
        <v>27</v>
      </c>
      <c r="E211" s="9">
        <v>20</v>
      </c>
      <c r="F211" s="10" t="s">
        <v>279</v>
      </c>
      <c r="G211" s="45" t="s">
        <v>408</v>
      </c>
    </row>
    <row r="212" spans="1:10" ht="24" x14ac:dyDescent="0.2">
      <c r="A212" s="9" t="s">
        <v>272</v>
      </c>
      <c r="B212" s="9">
        <v>8</v>
      </c>
      <c r="C212" s="12" t="s">
        <v>280</v>
      </c>
      <c r="D212" s="9">
        <v>47</v>
      </c>
      <c r="E212" s="9">
        <v>8</v>
      </c>
      <c r="F212" s="10" t="s">
        <v>281</v>
      </c>
      <c r="G212" s="45" t="s">
        <v>410</v>
      </c>
    </row>
    <row r="213" spans="1:10" ht="14.25" x14ac:dyDescent="0.2">
      <c r="A213" s="9" t="s">
        <v>272</v>
      </c>
      <c r="B213" s="9">
        <v>9</v>
      </c>
      <c r="C213" s="12" t="s">
        <v>282</v>
      </c>
      <c r="D213" s="9">
        <v>55</v>
      </c>
      <c r="E213" s="9">
        <v>40</v>
      </c>
      <c r="F213" s="43" t="s">
        <v>283</v>
      </c>
      <c r="G213" s="45" t="s">
        <v>409</v>
      </c>
      <c r="H213" s="59"/>
    </row>
    <row r="214" spans="1:10" x14ac:dyDescent="0.2">
      <c r="A214" s="9" t="s">
        <v>272</v>
      </c>
      <c r="B214" s="9">
        <v>10</v>
      </c>
      <c r="C214" s="12" t="s">
        <v>284</v>
      </c>
      <c r="D214" s="9">
        <v>95</v>
      </c>
      <c r="E214" s="9">
        <v>8</v>
      </c>
      <c r="F214" s="10" t="s">
        <v>285</v>
      </c>
      <c r="G214" s="45" t="s">
        <v>407</v>
      </c>
    </row>
    <row r="215" spans="1:10" x14ac:dyDescent="0.2">
      <c r="A215" s="9" t="s">
        <v>272</v>
      </c>
      <c r="B215" s="9">
        <v>11</v>
      </c>
      <c r="C215" s="12" t="s">
        <v>16</v>
      </c>
      <c r="D215" s="9">
        <v>103</v>
      </c>
      <c r="E215" s="9">
        <v>637</v>
      </c>
      <c r="F215" s="10"/>
      <c r="G215" s="46" t="s">
        <v>345</v>
      </c>
    </row>
    <row r="216" spans="1:10" x14ac:dyDescent="0.2">
      <c r="A216" s="4" t="s">
        <v>286</v>
      </c>
      <c r="B216" s="4"/>
      <c r="C216" s="14" t="s">
        <v>287</v>
      </c>
      <c r="D216" s="4"/>
      <c r="E216" s="4"/>
      <c r="F216" s="6"/>
    </row>
    <row r="217" spans="1:10" x14ac:dyDescent="0.2">
      <c r="A217" s="9" t="s">
        <v>286</v>
      </c>
      <c r="B217" s="9">
        <v>1</v>
      </c>
      <c r="C217" s="12" t="s">
        <v>8</v>
      </c>
      <c r="D217" s="9">
        <v>1</v>
      </c>
      <c r="E217" s="9">
        <v>1</v>
      </c>
      <c r="F217" s="10" t="s">
        <v>288</v>
      </c>
      <c r="G217" s="46" t="s">
        <v>411</v>
      </c>
    </row>
    <row r="218" spans="1:10" ht="120" x14ac:dyDescent="0.2">
      <c r="A218" s="9" t="s">
        <v>286</v>
      </c>
      <c r="B218" s="9">
        <v>2</v>
      </c>
      <c r="C218" s="12" t="s">
        <v>10</v>
      </c>
      <c r="D218" s="9">
        <f t="shared" ref="D218:D228" si="4">D217+E217</f>
        <v>2</v>
      </c>
      <c r="E218" s="9">
        <v>1</v>
      </c>
      <c r="F218" s="10" t="s">
        <v>100</v>
      </c>
      <c r="G218" s="47" t="s">
        <v>398</v>
      </c>
    </row>
    <row r="219" spans="1:10" ht="84" x14ac:dyDescent="0.2">
      <c r="A219" s="9" t="s">
        <v>286</v>
      </c>
      <c r="B219" s="9">
        <v>3</v>
      </c>
      <c r="C219" s="12" t="s">
        <v>12</v>
      </c>
      <c r="D219" s="9">
        <f t="shared" si="4"/>
        <v>3</v>
      </c>
      <c r="E219" s="9">
        <v>8</v>
      </c>
      <c r="F219" s="10" t="s">
        <v>13</v>
      </c>
      <c r="G219" s="39" t="s">
        <v>340</v>
      </c>
      <c r="H219" s="39" t="s">
        <v>341</v>
      </c>
      <c r="J219" s="45" t="s">
        <v>420</v>
      </c>
    </row>
    <row r="220" spans="1:10" x14ac:dyDescent="0.2">
      <c r="A220" s="9" t="s">
        <v>286</v>
      </c>
      <c r="B220" s="9">
        <v>4</v>
      </c>
      <c r="C220" s="12" t="s">
        <v>19</v>
      </c>
      <c r="D220" s="9">
        <f t="shared" si="4"/>
        <v>11</v>
      </c>
      <c r="E220" s="9">
        <v>11</v>
      </c>
      <c r="F220" s="10" t="s">
        <v>234</v>
      </c>
      <c r="G220" s="46" t="s">
        <v>372</v>
      </c>
    </row>
    <row r="221" spans="1:10" x14ac:dyDescent="0.2">
      <c r="A221" s="9" t="s">
        <v>286</v>
      </c>
      <c r="B221" s="9">
        <v>5</v>
      </c>
      <c r="C221" s="12" t="s">
        <v>16</v>
      </c>
      <c r="D221" s="9">
        <f t="shared" si="4"/>
        <v>22</v>
      </c>
      <c r="E221" s="9">
        <v>14</v>
      </c>
      <c r="F221" s="10" t="s">
        <v>69</v>
      </c>
      <c r="G221" s="46" t="s">
        <v>345</v>
      </c>
    </row>
    <row r="222" spans="1:10" ht="36" x14ac:dyDescent="0.2">
      <c r="A222" s="9" t="s">
        <v>286</v>
      </c>
      <c r="B222" s="9">
        <v>6</v>
      </c>
      <c r="C222" s="12" t="s">
        <v>289</v>
      </c>
      <c r="D222" s="9">
        <f t="shared" si="4"/>
        <v>36</v>
      </c>
      <c r="E222" s="9">
        <v>3</v>
      </c>
      <c r="F222" s="10" t="s">
        <v>290</v>
      </c>
      <c r="G222" s="63" t="s">
        <v>412</v>
      </c>
      <c r="H222" s="59"/>
    </row>
    <row r="223" spans="1:10" ht="132" x14ac:dyDescent="0.2">
      <c r="A223" s="32" t="s">
        <v>286</v>
      </c>
      <c r="B223" s="32">
        <v>7</v>
      </c>
      <c r="C223" s="33" t="s">
        <v>291</v>
      </c>
      <c r="D223" s="32">
        <f t="shared" si="4"/>
        <v>39</v>
      </c>
      <c r="E223" s="32">
        <v>8</v>
      </c>
      <c r="F223" s="34" t="s">
        <v>292</v>
      </c>
      <c r="G223" s="63" t="s">
        <v>413</v>
      </c>
      <c r="H223" s="59"/>
    </row>
    <row r="224" spans="1:10" ht="60" x14ac:dyDescent="0.2">
      <c r="A224" s="29" t="s">
        <v>286</v>
      </c>
      <c r="B224" s="29">
        <v>8</v>
      </c>
      <c r="C224" s="30" t="s">
        <v>293</v>
      </c>
      <c r="D224" s="29">
        <f t="shared" si="4"/>
        <v>47</v>
      </c>
      <c r="E224" s="29">
        <v>1</v>
      </c>
      <c r="F224" s="31" t="s">
        <v>294</v>
      </c>
      <c r="G224" s="46" t="s">
        <v>386</v>
      </c>
    </row>
    <row r="225" spans="1:8" ht="60" x14ac:dyDescent="0.2">
      <c r="A225" s="29" t="s">
        <v>286</v>
      </c>
      <c r="B225" s="29">
        <v>9</v>
      </c>
      <c r="C225" s="30" t="s">
        <v>295</v>
      </c>
      <c r="D225" s="29">
        <f t="shared" si="4"/>
        <v>48</v>
      </c>
      <c r="E225" s="29">
        <v>8</v>
      </c>
      <c r="F225" s="31" t="s">
        <v>296</v>
      </c>
      <c r="G225" s="62" t="s">
        <v>458</v>
      </c>
      <c r="H225" s="59"/>
    </row>
    <row r="226" spans="1:8" ht="84" x14ac:dyDescent="0.2">
      <c r="A226" s="26" t="s">
        <v>286</v>
      </c>
      <c r="B226" s="26">
        <v>10</v>
      </c>
      <c r="C226" s="27" t="s">
        <v>297</v>
      </c>
      <c r="D226" s="26">
        <f t="shared" si="4"/>
        <v>56</v>
      </c>
      <c r="E226" s="26">
        <v>8</v>
      </c>
      <c r="F226" s="28" t="s">
        <v>298</v>
      </c>
      <c r="G226" s="46" t="s">
        <v>345</v>
      </c>
    </row>
    <row r="227" spans="1:8" ht="144" x14ac:dyDescent="0.2">
      <c r="A227" s="26" t="s">
        <v>286</v>
      </c>
      <c r="B227" s="26">
        <v>11</v>
      </c>
      <c r="C227" s="27" t="s">
        <v>299</v>
      </c>
      <c r="D227" s="26">
        <f t="shared" si="4"/>
        <v>64</v>
      </c>
      <c r="E227" s="26">
        <v>8</v>
      </c>
      <c r="F227" s="28" t="s">
        <v>300</v>
      </c>
      <c r="G227" s="46" t="s">
        <v>345</v>
      </c>
    </row>
    <row r="228" spans="1:8" x14ac:dyDescent="0.2">
      <c r="A228" s="26" t="s">
        <v>286</v>
      </c>
      <c r="B228" s="26">
        <v>12</v>
      </c>
      <c r="C228" s="27" t="s">
        <v>16</v>
      </c>
      <c r="D228" s="26">
        <f t="shared" si="4"/>
        <v>72</v>
      </c>
      <c r="E228" s="26">
        <v>668</v>
      </c>
      <c r="F228" s="28" t="s">
        <v>69</v>
      </c>
      <c r="G228" s="46" t="s">
        <v>345</v>
      </c>
    </row>
  </sheetData>
  <autoFilter ref="A1:X228" xr:uid="{00000000-0001-0000-0000-000000000000}"/>
  <customSheetViews>
    <customSheetView guid="{A9543FCA-2F84-40E2-95DC-B774F7B96D4A}" filter="1" showAutoFilter="1">
      <pageMargins left="0.7" right="0.7" top="0.75" bottom="0.75" header="0.3" footer="0.3"/>
      <autoFilter ref="A1:H228" xr:uid="{2270ED5B-1529-461E-813D-27D0381587B4}">
        <filterColumn colId="4">
          <filters>
            <filter val="10"/>
            <filter val="138"/>
            <filter val="26"/>
            <filter val="668"/>
          </filters>
        </filterColumn>
      </autoFilter>
      <extLst>
        <ext uri="GoogleSheetsCustomDataVersion1">
          <go:sheetsCustomData xmlns:go="http://customooxmlschemas.google.com/" filterViewId="1665555073"/>
        </ext>
      </extLst>
    </customSheetView>
    <customSheetView guid="{CC0FF22F-AAA6-49D1-A4D1-5F075A1352A7}" filter="1" showAutoFilter="1">
      <pageMargins left="0.7" right="0.7" top="0.75" bottom="0.75" header="0.3" footer="0.3"/>
      <autoFilter ref="A1:H228" xr:uid="{3EBAE934-F5C6-4A36-896D-033F586FC539}">
        <filterColumn colId="2">
          <filters>
            <filter val="Cancellation Code"/>
            <filter val="Cancellation or Termination Code"/>
            <filter val="Carrier"/>
            <filter val="Carrier Code"/>
            <filter val="Carrier Effective Date"/>
            <filter val="Carrier End Date"/>
            <filter val="Case Number"/>
            <filter val="Certification Date"/>
            <filter val="Communication Number"/>
            <filter val="Confined Coverage Code"/>
            <filter val="Contact First Name"/>
            <filter val="Contact Last Name"/>
            <filter val="Contact Person Id"/>
            <filter val="Contact Second Last Name"/>
            <filter val="Co-Payment Maximum"/>
            <filter val="Cost Sharing Exception Code"/>
            <filter val="Coverage Code"/>
            <filter val="Covered Services"/>
            <filter val="Custom Property 1"/>
            <filter val="Custom Property 2"/>
            <filter val="Custom Property 3"/>
            <filter val="Custom Property 4"/>
            <filter val="Date Of Birth"/>
            <filter val="Date of Death"/>
            <filter val="Effective Date"/>
            <filter val="Eligibility Effective Date"/>
            <filter val="Eligibility Group"/>
            <filter val="Eligibility Indicator"/>
            <filter val="Eligible Members"/>
            <filter val="End Date"/>
            <filter val="Ethnicity"/>
            <filter val="Expiration Date"/>
            <filter val="Extension Flag"/>
            <filter val="Extension or Cancellation Date"/>
            <filter val="Facility"/>
            <filter val="First Name"/>
            <filter val="Gender"/>
            <filter val="Government Group"/>
            <filter val="Health Insurer Code"/>
            <filter val="Household"/>
            <filter val="Household Person 1"/>
            <filter val="Household Person 10"/>
            <filter val="Household Person 11"/>
            <filter val="Household Person 12"/>
            <filter val="Household Person 13"/>
            <filter val="Household Person 14"/>
            <filter val="Household Person 15"/>
            <filter val="Household Person 16"/>
            <filter val="Household Person 17"/>
            <filter val="Household Person 18"/>
            <filter val="Household Person 2"/>
            <filter val="Household Person 3"/>
            <filter val="Household Person 4"/>
            <filter val="Household Person 5"/>
            <filter val="Household Person 6"/>
            <filter val="Household Person 7"/>
            <filter val="Household Person 8"/>
            <filter val="Household Person 9"/>
            <filter val="Id Card Issue Date"/>
            <filter val="Insurance (COB)"/>
            <filter val="Language Spoken"/>
            <filter val="Language Written"/>
            <filter val="Last Name"/>
            <filter val="Mailing Address 1"/>
            <filter val="Mailing Address 2"/>
            <filter val="Mailing City"/>
            <filter val="Mailing ZIP"/>
            <filter val="Mailing ZIP4"/>
            <filter val="Marital Status Code"/>
            <filter val="MBI"/>
            <filter val="Member  (First Segment)"/>
            <filter val="Member (Second Segment)"/>
            <filter val="Member Start Date"/>
            <filter val="Middle Initial"/>
            <filter val="MPI"/>
            <filter val="Municipality"/>
            <filter val="New Carrier"/>
            <filter val="New Carrier Effective Date"/>
            <filter val="New Id Card Issue Date"/>
            <filter val="New PCP"/>
            <filter val="New PCP Effective Date"/>
            <filter val="New Plan Type"/>
            <filter val="New Plan Type Effective Date"/>
            <filter val="New Plan Version"/>
            <filter val="New Plan Version Effective Date"/>
            <filter val="New PMG Code"/>
            <filter val="New PMG Effective Date"/>
            <filter val="New PMG Federal Tax Id"/>
            <filter val="New PMG Medicaid Id"/>
            <filter val="New PMG NPI"/>
            <filter val="New Policy Number"/>
            <filter val="New Second PCP"/>
            <filter val="New Second PCP Effective Date"/>
            <filter val="PCP"/>
            <filter val="PCP Change Reason"/>
            <filter val="PCP Effective Date"/>
            <filter val="Person Id"/>
            <filter val="Plan Type"/>
            <filter val="Plan Type Effective Date"/>
            <filter val="Plan Version"/>
            <filter val="Plan Version Effective Date"/>
            <filter val="PMG Code"/>
            <filter val="PMG Effective Date"/>
            <filter val="PMG Federal Tax Id"/>
            <filter val="PMG Medicaid Id"/>
            <filter val="PMG NPI"/>
            <filter val="Policy Effective Date"/>
            <filter val="Policy End Date"/>
            <filter val="Policy Number"/>
            <filter val="Pregnancy Indicator"/>
            <filter val="Primary Care Change Reason"/>
            <filter val="Proces Date"/>
            <filter val="Process Date"/>
            <filter val="Program"/>
            <filter val="Race"/>
            <filter val="Rate Cell and Risk Score"/>
            <filter val="Rate Code"/>
            <filter val="Raw Risk Score"/>
            <filter val="Record Type"/>
            <filter val="Region"/>
            <filter val="Residence Address 1"/>
            <filter val="Residence Address 2"/>
            <filter val="Residence City"/>
            <filter val="Residence Zip"/>
            <filter val="Residence Zip4"/>
            <filter val="Risk Score"/>
            <filter val="Risk Score Indicator"/>
            <filter val="Second Last Name"/>
            <filter val="Second PCP"/>
            <filter val="Second PCP Effective Date"/>
            <filter val="Sex"/>
            <filter val="Social Security Benefits"/>
            <filter val="Social Security Number"/>
            <filter val="Special Enroll"/>
            <filter val="Spend Down Indicator"/>
            <filter val="Transaction Id"/>
          </filters>
        </filterColumn>
      </autoFilter>
      <extLst>
        <ext uri="GoogleSheetsCustomDataVersion1">
          <go:sheetsCustomData xmlns:go="http://customooxmlschemas.google.com/" filterViewId="1440602891"/>
        </ext>
      </extLst>
    </customSheetView>
  </customSheetViews>
  <mergeCells count="1">
    <mergeCell ref="G1:J1"/>
  </mergeCells>
  <phoneticPr fontId="15" type="noConversion"/>
  <printOptions gridLines="1"/>
  <pageMargins left="0.7" right="0.7" top="0.75" bottom="0.75" header="0" footer="0"/>
  <pageSetup scale="54"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C253-759E-44F1-93DD-A09F99C27E07}">
  <dimension ref="A1"/>
  <sheetViews>
    <sheetView topLeftCell="A25" zoomScale="220" zoomScaleNormal="220" workbookViewId="0"/>
  </sheetViews>
  <sheetFormatPr defaultRowHeight="12.75" x14ac:dyDescent="0.2"/>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C58A-A542-4592-AAEC-79D0705E7DEF}">
  <dimension ref="A1"/>
  <sheetViews>
    <sheetView workbookViewId="0">
      <selection activeCell="H3" sqref="H3:H12"/>
    </sheetView>
  </sheetViews>
  <sheetFormatPr defaultRowHeight="12.7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pageSetUpPr fitToPage="1"/>
  </sheetPr>
  <dimension ref="A1:C1000"/>
  <sheetViews>
    <sheetView workbookViewId="0">
      <selection activeCell="B9" sqref="B9"/>
    </sheetView>
  </sheetViews>
  <sheetFormatPr defaultColWidth="12.5703125" defaultRowHeight="15" customHeight="1" x14ac:dyDescent="0.2"/>
  <cols>
    <col min="2" max="3" width="51.85546875" customWidth="1"/>
  </cols>
  <sheetData>
    <row r="1" spans="1:3" ht="15.75" customHeight="1" x14ac:dyDescent="0.2">
      <c r="A1" s="19" t="s">
        <v>308</v>
      </c>
      <c r="B1" s="20" t="s">
        <v>309</v>
      </c>
      <c r="C1" s="20" t="s">
        <v>310</v>
      </c>
    </row>
    <row r="2" spans="1:3" ht="12.75" x14ac:dyDescent="0.2">
      <c r="A2" s="21" t="s">
        <v>301</v>
      </c>
      <c r="B2" s="22" t="s">
        <v>311</v>
      </c>
      <c r="C2" s="22" t="s">
        <v>312</v>
      </c>
    </row>
    <row r="3" spans="1:3" ht="48" x14ac:dyDescent="0.2">
      <c r="A3" s="21" t="s">
        <v>302</v>
      </c>
      <c r="B3" s="22" t="s">
        <v>313</v>
      </c>
      <c r="C3" s="22" t="s">
        <v>314</v>
      </c>
    </row>
    <row r="4" spans="1:3" ht="96" x14ac:dyDescent="0.2">
      <c r="A4" s="21" t="s">
        <v>303</v>
      </c>
      <c r="B4" s="22" t="s">
        <v>315</v>
      </c>
      <c r="C4" s="22" t="s">
        <v>316</v>
      </c>
    </row>
    <row r="5" spans="1:3" ht="36" x14ac:dyDescent="0.2">
      <c r="A5" s="23" t="s">
        <v>304</v>
      </c>
      <c r="B5" s="24" t="s">
        <v>317</v>
      </c>
      <c r="C5" s="22" t="s">
        <v>318</v>
      </c>
    </row>
    <row r="6" spans="1:3" ht="36" x14ac:dyDescent="0.2">
      <c r="A6" s="23" t="s">
        <v>305</v>
      </c>
      <c r="B6" s="24" t="s">
        <v>319</v>
      </c>
      <c r="C6" s="22" t="s">
        <v>320</v>
      </c>
    </row>
    <row r="7" spans="1:3" ht="12.75" x14ac:dyDescent="0.2">
      <c r="A7" s="23" t="s">
        <v>306</v>
      </c>
      <c r="B7" s="24" t="s">
        <v>321</v>
      </c>
      <c r="C7" s="25"/>
    </row>
    <row r="8" spans="1:3" ht="12.75" x14ac:dyDescent="0.2">
      <c r="A8" s="21" t="s">
        <v>307</v>
      </c>
      <c r="B8" s="22" t="s">
        <v>322</v>
      </c>
      <c r="C8" s="22" t="s">
        <v>323</v>
      </c>
    </row>
    <row r="9" spans="1:3" ht="72" x14ac:dyDescent="0.2">
      <c r="A9" s="21" t="s">
        <v>324</v>
      </c>
      <c r="B9" s="22" t="s">
        <v>325</v>
      </c>
      <c r="C9" s="22" t="s">
        <v>326</v>
      </c>
    </row>
    <row r="10" spans="1:3" ht="12.75" x14ac:dyDescent="0.2">
      <c r="A10" s="21" t="s">
        <v>327</v>
      </c>
      <c r="B10" s="22" t="s">
        <v>328</v>
      </c>
      <c r="C10" s="22" t="s">
        <v>329</v>
      </c>
    </row>
    <row r="11" spans="1:3" ht="72" x14ac:dyDescent="0.2">
      <c r="A11" s="21" t="s">
        <v>330</v>
      </c>
      <c r="B11" s="22" t="s">
        <v>331</v>
      </c>
      <c r="C11" s="22" t="s">
        <v>332</v>
      </c>
    </row>
    <row r="12" spans="1:3" ht="48" x14ac:dyDescent="0.2">
      <c r="A12" s="21" t="s">
        <v>333</v>
      </c>
      <c r="B12" s="22" t="s">
        <v>334</v>
      </c>
      <c r="C12" s="22" t="s">
        <v>335</v>
      </c>
    </row>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Enrollment Export (EXP)</vt:lpstr>
      <vt:lpstr>834 Maintenance Reason codes</vt:lpstr>
      <vt:lpstr>834 Region</vt:lpstr>
      <vt:lpstr>Disenrollment Reason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Sifre Santaella</dc:creator>
  <cp:lastModifiedBy>Matias Aleman</cp:lastModifiedBy>
  <dcterms:created xsi:type="dcterms:W3CDTF">2022-11-01T21:53:33Z</dcterms:created>
  <dcterms:modified xsi:type="dcterms:W3CDTF">2023-08-18T19:51:26Z</dcterms:modified>
</cp:coreProperties>
</file>